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ivotTables/pivotTable10.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mc:AlternateContent xmlns:mc="http://schemas.openxmlformats.org/markup-compatibility/2006">
    <mc:Choice Requires="x15">
      <x15ac:absPath xmlns:x15ac="http://schemas.microsoft.com/office/spreadsheetml/2010/11/ac" url="/Users/nithinsaijatoth/Desktop/Hospitality-Booking-Revenue-Performance/"/>
    </mc:Choice>
  </mc:AlternateContent>
  <xr:revisionPtr revIDLastSave="0" documentId="8_{C93AD5A1-9EF2-2A43-9218-64C2F6E535C5}" xr6:coauthVersionLast="47" xr6:coauthVersionMax="47" xr10:uidLastSave="{00000000-0000-0000-0000-000000000000}"/>
  <bookViews>
    <workbookView xWindow="0" yWindow="660" windowWidth="29400" windowHeight="18460" firstSheet="3" activeTab="4" xr2:uid="{00000000-000D-0000-FFFF-FFFF00000000}"/>
  </bookViews>
  <sheets>
    <sheet name="Data_Dictionary" sheetId="2" r:id="rId1"/>
    <sheet name="Raw_Motel_Data" sheetId="1" r:id="rId2"/>
    <sheet name="Cleaned_Motel_Booking_Data" sheetId="5" r:id="rId3"/>
    <sheet name="Excel_Analysis" sheetId="6" r:id="rId4"/>
    <sheet name="Excel_Dashboard" sheetId="13" r:id="rId5"/>
    <sheet name="Business_Insights" sheetId="17" r:id="rId6"/>
    <sheet name="Excel_Formula_Practice" sheetId="18" r:id="rId7"/>
    <sheet name="Pivot_KPI" sheetId="16" r:id="rId8"/>
    <sheet name="Pivot_Room_Type" sheetId="7" r:id="rId9"/>
    <sheet name="Pivot_Booking_Source" sheetId="8" r:id="rId10"/>
    <sheet name="Pivot_Booking_Status" sheetId="9" r:id="rId11"/>
    <sheet name="Pivot_Monthly_Revenue" sheetId="10" r:id="rId12"/>
    <sheet name="Pivot_Room_Rating" sheetId="11" r:id="rId13"/>
    <sheet name="Detail1" sheetId="15" r:id="rId14"/>
    <sheet name="Excel_Charts" sheetId="12" r:id="rId15"/>
  </sheets>
  <definedNames>
    <definedName name="ExternalData_1" localSheetId="2" hidden="1">Cleaned_Motel_Booking_Data!$A$1:$P$121</definedName>
    <definedName name="NativeTimeline_Check_In_Date">#N/A</definedName>
    <definedName name="Slicer_Booking_Source">#N/A</definedName>
    <definedName name="Slicer_Guest_Country">#N/A</definedName>
    <definedName name="Slicer_Payment_Status">#N/A</definedName>
    <definedName name="Slicer_Room_Type">#N/A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8" l="1"/>
  <c r="H8" i="18"/>
  <c r="C28" i="18" s="1"/>
  <c r="H7" i="18"/>
  <c r="C29" i="18" s="1"/>
  <c r="C27" i="18"/>
  <c r="C26" i="18"/>
  <c r="C25" i="18"/>
  <c r="C24" i="18"/>
  <c r="C22" i="18"/>
  <c r="C21" i="18"/>
  <c r="C20" i="18"/>
  <c r="C19" i="18"/>
  <c r="C18" i="18"/>
  <c r="C17" i="18"/>
  <c r="C16" i="18"/>
  <c r="C15" i="18"/>
  <c r="C14" i="18"/>
  <c r="C13" i="18"/>
  <c r="C23" i="18" s="1"/>
  <c r="C10" i="18"/>
  <c r="C9" i="18"/>
  <c r="C8" i="18"/>
  <c r="C7" i="18"/>
  <c r="C6" i="18"/>
  <c r="C5" i="18"/>
  <c r="C4" i="18"/>
  <c r="C3" i="18"/>
  <c r="C2" i="18"/>
  <c r="C12" i="18" s="1"/>
  <c r="M5" i="13"/>
  <c r="J5" i="13"/>
  <c r="G5" i="13"/>
  <c r="D5" i="13"/>
  <c r="A5" i="13"/>
  <c r="B9" i="6"/>
  <c r="B8" i="6"/>
  <c r="B7" i="6"/>
  <c r="B6" i="6"/>
  <c r="B5" i="6"/>
  <c r="B4" i="6"/>
  <c r="B3" i="6"/>
  <c r="B10" i="6" l="1"/>
  <c r="C11" i="18" a="1"/>
  <c r="C1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7E4442-66E1-5E48-B700-EA006389BBFD}" keepAlive="1" name="Query - Cleaned_Motel_Data" description="Connection to the 'Cleaned_Motel_Data' query in the workbook." type="5" refreshedVersion="8" background="1" saveData="1">
    <dbPr connection="Provider=Microsoft.Mashup.OleDb.1;Data Source=$Workbook$;Location=Cleaned_Motel_Data;Extended Properties=&quot;&quot;" command="SELECT * FROM [Cleaned_Motel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<sst xmlns="http://schemas.openxmlformats.org/spreadsheetml/2006/main" count="1918" uniqueCount="345">
  <si>
    <t>Booking_ID</t>
  </si>
  <si>
    <t>Booking_Date</t>
  </si>
  <si>
    <t>Check_In_Date</t>
  </si>
  <si>
    <t>Check_Out_Date</t>
  </si>
  <si>
    <t>Room_Number</t>
  </si>
  <si>
    <t>Room_Type</t>
  </si>
  <si>
    <t>Booking_Source</t>
  </si>
  <si>
    <t>Guest_Country</t>
  </si>
  <si>
    <t>Adults</t>
  </si>
  <si>
    <t>Nightly_Rate_GBP</t>
  </si>
  <si>
    <t>Resort_Fee_GBP</t>
  </si>
  <si>
    <t>Booking_Status</t>
  </si>
  <si>
    <t>Payment_Status</t>
  </si>
  <si>
    <t>Guest_Rating</t>
  </si>
  <si>
    <t>BK1001</t>
  </si>
  <si>
    <t>Deluxe</t>
  </si>
  <si>
    <t>Expedia</t>
  </si>
  <si>
    <t>United States</t>
  </si>
  <si>
    <t>Completed</t>
  </si>
  <si>
    <t>Paid</t>
  </si>
  <si>
    <t>BK1002</t>
  </si>
  <si>
    <t>Germany</t>
  </si>
  <si>
    <t>BK1003</t>
  </si>
  <si>
    <t>King</t>
  </si>
  <si>
    <t>Direct</t>
  </si>
  <si>
    <t>Australia</t>
  </si>
  <si>
    <t>BK1004</t>
  </si>
  <si>
    <t>Booking.com</t>
  </si>
  <si>
    <t>BK1005</t>
  </si>
  <si>
    <t>France</t>
  </si>
  <si>
    <t>BK1006</t>
  </si>
  <si>
    <t>standard</t>
  </si>
  <si>
    <t>BK1007</t>
  </si>
  <si>
    <t>Canada</t>
  </si>
  <si>
    <t>Cancelled</t>
  </si>
  <si>
    <t>Refunded</t>
  </si>
  <si>
    <t>BK1008</t>
  </si>
  <si>
    <t>BK1009</t>
  </si>
  <si>
    <t>Double</t>
  </si>
  <si>
    <t>Walk-in</t>
  </si>
  <si>
    <t>BK1010</t>
  </si>
  <si>
    <t>expedia</t>
  </si>
  <si>
    <t>BK1011</t>
  </si>
  <si>
    <t>Standard</t>
  </si>
  <si>
    <t>Pending</t>
  </si>
  <si>
    <t>BK1012</t>
  </si>
  <si>
    <t>United Kingdom</t>
  </si>
  <si>
    <t>completed</t>
  </si>
  <si>
    <t>BK1013</t>
  </si>
  <si>
    <t>BK1014</t>
  </si>
  <si>
    <t>BK1015</t>
  </si>
  <si>
    <t>No-Show</t>
  </si>
  <si>
    <t>BK1016</t>
  </si>
  <si>
    <t>BK1017</t>
  </si>
  <si>
    <t>DELUXE</t>
  </si>
  <si>
    <t>BK1018</t>
  </si>
  <si>
    <t>BK1019</t>
  </si>
  <si>
    <t>BK1020</t>
  </si>
  <si>
    <t>BK1021</t>
  </si>
  <si>
    <t>paid</t>
  </si>
  <si>
    <t>BK1022</t>
  </si>
  <si>
    <t>BK1023</t>
  </si>
  <si>
    <t>BK1024</t>
  </si>
  <si>
    <t>BK1025</t>
  </si>
  <si>
    <t>BK1026</t>
  </si>
  <si>
    <t>04/06/2025</t>
  </si>
  <si>
    <t>BK1027</t>
  </si>
  <si>
    <t>BK1028</t>
  </si>
  <si>
    <t>BK1029</t>
  </si>
  <si>
    <t>BK1030</t>
  </si>
  <si>
    <t>India</t>
  </si>
  <si>
    <t>BK1031</t>
  </si>
  <si>
    <t>BK1032</t>
  </si>
  <si>
    <t>BOOKING.COM</t>
  </si>
  <si>
    <t>BK1033</t>
  </si>
  <si>
    <t>BK1034</t>
  </si>
  <si>
    <t>BK1035</t>
  </si>
  <si>
    <t>BK1036</t>
  </si>
  <si>
    <t>BK1037</t>
  </si>
  <si>
    <t>BK1038</t>
  </si>
  <si>
    <t>BK1039</t>
  </si>
  <si>
    <t>BK1040</t>
  </si>
  <si>
    <t>BK1041</t>
  </si>
  <si>
    <t>BK1042</t>
  </si>
  <si>
    <t>BK1043</t>
  </si>
  <si>
    <t>BK1044</t>
  </si>
  <si>
    <t>cancelled</t>
  </si>
  <si>
    <t>BK1045</t>
  </si>
  <si>
    <t>BK1046</t>
  </si>
  <si>
    <t>BK1047</t>
  </si>
  <si>
    <t>05-13-2025</t>
  </si>
  <si>
    <t>BK1048</t>
  </si>
  <si>
    <t>BK1049</t>
  </si>
  <si>
    <t>BK1050</t>
  </si>
  <si>
    <t>BK1051</t>
  </si>
  <si>
    <t>BK1052</t>
  </si>
  <si>
    <t>BK1053</t>
  </si>
  <si>
    <t>BK1054</t>
  </si>
  <si>
    <t>BK1055</t>
  </si>
  <si>
    <t>BK1056</t>
  </si>
  <si>
    <t>BK1057</t>
  </si>
  <si>
    <t>BK1058</t>
  </si>
  <si>
    <t>BK1059</t>
  </si>
  <si>
    <t>BK1060</t>
  </si>
  <si>
    <t>BK1061</t>
  </si>
  <si>
    <t>BK1062</t>
  </si>
  <si>
    <t>PENDING</t>
  </si>
  <si>
    <t>BK1063</t>
  </si>
  <si>
    <t>BK1064</t>
  </si>
  <si>
    <t>BK1065</t>
  </si>
  <si>
    <t>BK1066</t>
  </si>
  <si>
    <t>BK1067</t>
  </si>
  <si>
    <t>BK1068</t>
  </si>
  <si>
    <t>BK1069</t>
  </si>
  <si>
    <t>BK1070</t>
  </si>
  <si>
    <t>BK1071</t>
  </si>
  <si>
    <t>BK1072</t>
  </si>
  <si>
    <t>BK1073</t>
  </si>
  <si>
    <t>direct</t>
  </si>
  <si>
    <t>BK1074</t>
  </si>
  <si>
    <t>BK1075</t>
  </si>
  <si>
    <t>BK1076</t>
  </si>
  <si>
    <t>BK1077</t>
  </si>
  <si>
    <t>BK1078</t>
  </si>
  <si>
    <t>BK1079</t>
  </si>
  <si>
    <t>BK1080</t>
  </si>
  <si>
    <t>BK1081</t>
  </si>
  <si>
    <t>BK1082</t>
  </si>
  <si>
    <t>BK1083</t>
  </si>
  <si>
    <t>BK1084</t>
  </si>
  <si>
    <t>BK1085</t>
  </si>
  <si>
    <t>BK1086</t>
  </si>
  <si>
    <t>BK1087</t>
  </si>
  <si>
    <t>BK1088</t>
  </si>
  <si>
    <t>BK1089</t>
  </si>
  <si>
    <t>BK1090</t>
  </si>
  <si>
    <t>No show</t>
  </si>
  <si>
    <t>BK1091</t>
  </si>
  <si>
    <t>BK1092</t>
  </si>
  <si>
    <t>BK1093</t>
  </si>
  <si>
    <t>BK1094</t>
  </si>
  <si>
    <t>BK1095</t>
  </si>
  <si>
    <t>BK1096</t>
  </si>
  <si>
    <t>BK1097</t>
  </si>
  <si>
    <t>BK1098</t>
  </si>
  <si>
    <t>BK1099</t>
  </si>
  <si>
    <t>BK1100</t>
  </si>
  <si>
    <t>BK1101</t>
  </si>
  <si>
    <t>BK1102</t>
  </si>
  <si>
    <t>BK1103</t>
  </si>
  <si>
    <t>BK1104</t>
  </si>
  <si>
    <t>BK1105</t>
  </si>
  <si>
    <t>BK1106</t>
  </si>
  <si>
    <t>BK1107</t>
  </si>
  <si>
    <t>BK1108</t>
  </si>
  <si>
    <t>BK1109</t>
  </si>
  <si>
    <t>BK1110</t>
  </si>
  <si>
    <t>BK1111</t>
  </si>
  <si>
    <t>BK1112</t>
  </si>
  <si>
    <t>BK1113</t>
  </si>
  <si>
    <t>BK1114</t>
  </si>
  <si>
    <t>BK1115</t>
  </si>
  <si>
    <t>BK1116</t>
  </si>
  <si>
    <t>BK1117</t>
  </si>
  <si>
    <t>BK1118</t>
  </si>
  <si>
    <t>BK1119</t>
  </si>
  <si>
    <t>BK1120</t>
  </si>
  <si>
    <t>Motel Booking Data Dictionary</t>
  </si>
  <si>
    <t>Column</t>
  </si>
  <si>
    <t>Meaning</t>
  </si>
  <si>
    <t>Expected Type</t>
  </si>
  <si>
    <t>Example</t>
  </si>
  <si>
    <t>Unique booking reference</t>
  </si>
  <si>
    <t>Text</t>
  </si>
  <si>
    <t>Date the reservation was created</t>
  </si>
  <si>
    <t>Date</t>
  </si>
  <si>
    <t>15-Jan-2025</t>
  </si>
  <si>
    <t>Guest arrival date</t>
  </si>
  <si>
    <t>10-Feb-2025</t>
  </si>
  <si>
    <t>Guest departure date</t>
  </si>
  <si>
    <t>13-Feb-2025</t>
  </si>
  <si>
    <t>Assigned motel room</t>
  </si>
  <si>
    <t>Whole number</t>
  </si>
  <si>
    <t>108</t>
  </si>
  <si>
    <t>Type of room booked</t>
  </si>
  <si>
    <t>Category</t>
  </si>
  <si>
    <t>Where the booking came from</t>
  </si>
  <si>
    <t>Guest's country</t>
  </si>
  <si>
    <t>Number of adult guests</t>
  </si>
  <si>
    <t>2</t>
  </si>
  <si>
    <t>Room price per night</t>
  </si>
  <si>
    <t>Currency</t>
  </si>
  <si>
    <t>£95.00</t>
  </si>
  <si>
    <t>Extra fee per booking</t>
  </si>
  <si>
    <t>£8.50</t>
  </si>
  <si>
    <t>Final booking result</t>
  </si>
  <si>
    <t>Payment result</t>
  </si>
  <si>
    <t>Guest score from 1 to 5</t>
  </si>
  <si>
    <t>Decimal/Whole number</t>
  </si>
  <si>
    <t>4</t>
  </si>
  <si>
    <t>Nights</t>
  </si>
  <si>
    <t>Estimated_Revenue_GBP</t>
  </si>
  <si>
    <t>Unknown</t>
  </si>
  <si>
    <t>Motel KPI Summary</t>
  </si>
  <si>
    <t>Total Revenue</t>
  </si>
  <si>
    <t>Total Bookings</t>
  </si>
  <si>
    <t>Completed Bookings</t>
  </si>
  <si>
    <t>Cancelled Bookings</t>
  </si>
  <si>
    <t>No-Show Bookings</t>
  </si>
  <si>
    <t>Average Nightly Rate</t>
  </si>
  <si>
    <t>Average Guest Rating</t>
  </si>
  <si>
    <t>Cancellation Rate</t>
  </si>
  <si>
    <t>Row Labels</t>
  </si>
  <si>
    <t>Grand Total</t>
  </si>
  <si>
    <t>Count of Booking_ID</t>
  </si>
  <si>
    <t>Sum of Estimated_Revenue_GBP</t>
  </si>
  <si>
    <t>Jan</t>
  </si>
  <si>
    <t>Feb</t>
  </si>
  <si>
    <t>Mar</t>
  </si>
  <si>
    <t>Apr</t>
  </si>
  <si>
    <t>May</t>
  </si>
  <si>
    <t>Jun</t>
  </si>
  <si>
    <t>Jul</t>
  </si>
  <si>
    <t>Aug</t>
  </si>
  <si>
    <t>Sep</t>
  </si>
  <si>
    <t>Oct</t>
  </si>
  <si>
    <t>Nov</t>
  </si>
  <si>
    <t>Dec</t>
  </si>
  <si>
    <t>Average of Guest_Rating</t>
  </si>
  <si>
    <t>Motel Booking Analytics Dashboard</t>
  </si>
  <si>
    <t>Details for Sum of Estimated_Revenue_GBP</t>
  </si>
  <si>
    <t>Motel Booking Analytics – Business Insights</t>
  </si>
  <si>
    <t>Key Findings</t>
  </si>
  <si>
    <t>Deluxe rooms also had the highest average rating among known room types.</t>
  </si>
  <si>
    <t>Total revenue was £28,774.55 from 120 bookings.</t>
  </si>
  <si>
    <t>98 bookings were completed, while 14 were cancelled and 8 were no-shows.</t>
  </si>
  <si>
    <t>The cancellation rate was 11.67%.</t>
  </si>
  <si>
    <t>October generated the highest monthly revenue.</t>
  </si>
  <si>
    <t>April generated the lowest monthly revenue.</t>
  </si>
  <si>
    <t>Walk-in bookings generated the highest revenue.</t>
  </si>
  <si>
    <t>Booking.com and Expedia received the highest number of bookings.</t>
  </si>
  <si>
    <t>Deluxe rooms generated the highest revenue among known room types.</t>
  </si>
  <si>
    <t>Overall average guest rating was 4.15.</t>
  </si>
  <si>
    <t>Business Recommendations</t>
  </si>
  <si>
    <t>Test promotions during low-revenue months such as April.</t>
  </si>
  <si>
    <t>Encourage direct and walk-in bookings because they generate strong revenue.</t>
  </si>
  <si>
    <t>Investigate the reasons for cancellations and no-shows.</t>
  </si>
  <si>
    <t>Maintain the service quality of Deluxe rooms.</t>
  </si>
  <si>
    <r>
      <t xml:space="preserve">Review records marked </t>
    </r>
    <r>
      <rPr>
        <sz val="10"/>
        <rFont val="Arial Unicode MS"/>
        <family val="2"/>
      </rPr>
      <t>Unknown</t>
    </r>
    <r>
      <rPr>
        <sz val="11"/>
        <rFont val="Carlito"/>
      </rPr>
      <t xml:space="preserve"> and improve data collection.</t>
    </r>
  </si>
  <si>
    <t>Track monthly revenue and cancellation rates regularly.</t>
  </si>
  <si>
    <t>Source: Motel Booking Analytics Excel Dashboard</t>
  </si>
  <si>
    <t>Formula</t>
  </si>
  <si>
    <t>Bussiness Question</t>
  </si>
  <si>
    <t>Result</t>
  </si>
  <si>
    <t>SUMIF</t>
  </si>
  <si>
    <t>What is the total revenue from Deluxe rooms?</t>
  </si>
  <si>
    <t>What is the total revenue from completed Booking.com reservations?</t>
  </si>
  <si>
    <t>SUMIFS</t>
  </si>
  <si>
    <t>adds numbers only when one condition is satisfied</t>
  </si>
  <si>
    <t>adds numbers using more than one condition</t>
  </si>
  <si>
    <t>COUNTIFS</t>
  </si>
  <si>
    <t>counts rows using more than one condition</t>
  </si>
  <si>
    <t>How many completed Deluxe room bookings are there?</t>
  </si>
  <si>
    <t>AVERAGEIF</t>
  </si>
  <si>
    <t>What is the average guest rating for Deluxe rooms?</t>
  </si>
  <si>
    <t>calculates an average using one condition</t>
  </si>
  <si>
    <t>AVERAGEIFS</t>
  </si>
  <si>
    <t>What is the average nightly rate for completed Deluxe bookings?</t>
  </si>
  <si>
    <t>calculates an average using more than one condition</t>
  </si>
  <si>
    <t>MIN</t>
  </si>
  <si>
    <t>What is the lowest nightly room rate?</t>
  </si>
  <si>
    <t>finds the smallest number</t>
  </si>
  <si>
    <t>MAX</t>
  </si>
  <si>
    <t>What is the highest nightly room rate?</t>
  </si>
  <si>
    <t>finds the largest number</t>
  </si>
  <si>
    <t>ROUND</t>
  </si>
  <si>
    <t>What is the average nightly rate rounded to 2 decimal places?</t>
  </si>
  <si>
    <t>calculates the average nightly rate and keeps only 2 decimal places</t>
  </si>
  <si>
    <t>IF</t>
  </si>
  <si>
    <t>Are cancellations high or low?</t>
  </si>
  <si>
    <t>IFS</t>
  </si>
  <si>
    <t>How is Deluxe room revenue performing?</t>
  </si>
  <si>
    <t>checks multiple conditions</t>
  </si>
  <si>
    <t>gives one result when a condition is true and another when it is false</t>
  </si>
  <si>
    <t>Revenue Target</t>
  </si>
  <si>
    <t>Did Deluxe room revenue meet the £7,000 target?</t>
  </si>
  <si>
    <t>keeps the target cell fixed when the formula is copied</t>
  </si>
  <si>
    <t>Absolute Reference</t>
  </si>
  <si>
    <t>XLOOKUP</t>
  </si>
  <si>
    <t>What is the room type for the Booking ID entered in F2?</t>
  </si>
  <si>
    <t>searches for a value and returns matching information</t>
  </si>
  <si>
    <t>IFERROR</t>
  </si>
  <si>
    <t>What should Excel show when a Booking ID is not found?</t>
  </si>
  <si>
    <t>replaces an Excel error with a clear message</t>
  </si>
  <si>
    <t>TRIM</t>
  </si>
  <si>
    <t>PROPER</t>
  </si>
  <si>
    <t>UPPER</t>
  </si>
  <si>
    <t>LOWER</t>
  </si>
  <si>
    <t>LEFT</t>
  </si>
  <si>
    <t>RIGHT</t>
  </si>
  <si>
    <t>MID</t>
  </si>
  <si>
    <t>LEN</t>
  </si>
  <si>
    <r>
      <t>CONCAT</t>
    </r>
    <r>
      <rPr>
        <sz val="11"/>
        <rFont val="Carlito"/>
      </rPr>
      <t xml:space="preserve"> or </t>
    </r>
    <r>
      <rPr>
        <sz val="10"/>
        <rFont val="Arial Unicode MS"/>
        <family val="2"/>
      </rPr>
      <t>TEXTJOIN</t>
    </r>
  </si>
  <si>
    <t>Messy Text</t>
  </si>
  <si>
    <t xml:space="preserve">   deluxe   </t>
  </si>
  <si>
    <t>How can we remove extra spaces from text?</t>
  </si>
  <si>
    <t>removes unnecessary spaces from text</t>
  </si>
  <si>
    <t>deluxe room</t>
  </si>
  <si>
    <t>How can we capitalize the first letter of each word?</t>
  </si>
  <si>
    <t>capitalizes the first letter of every word</t>
  </si>
  <si>
    <t>booking.com</t>
  </si>
  <si>
    <t>converts all letters into uppercase</t>
  </si>
  <si>
    <t>How can we convert text into capital letters?</t>
  </si>
  <si>
    <t>How can we convert text into small letters?</t>
  </si>
  <si>
    <t>converts all letters into lowercase</t>
  </si>
  <si>
    <t>How can we extract the first two characters from a Booking ID?</t>
  </si>
  <si>
    <t>How can we extract the last four characters from a Booking ID?</t>
  </si>
  <si>
    <t>extracts characters from the beginning of text</t>
  </si>
  <si>
    <t>extracts characters from the end of text</t>
  </si>
  <si>
    <t>How can we extract characters from the middle of a Booking ID?</t>
  </si>
  <si>
    <t>extracts characters from the middle of text</t>
  </si>
  <si>
    <t>How many characters are in the Booking ID?</t>
  </si>
  <si>
    <t>counts the number of characters in text</t>
  </si>
  <si>
    <t>How can we combine the Booking ID and Room Type?</t>
  </si>
  <si>
    <t>joins text from different cells together</t>
  </si>
  <si>
    <t>YEAR</t>
  </si>
  <si>
    <t>MONTH</t>
  </si>
  <si>
    <t>DAY</t>
  </si>
  <si>
    <t>TODAY</t>
  </si>
  <si>
    <t>DATEDIF</t>
  </si>
  <si>
    <t>EOMONTH</t>
  </si>
  <si>
    <t>What year is the check-in date?</t>
  </si>
  <si>
    <t>extracts the year from a date</t>
  </si>
  <si>
    <t>What month is the check-in date?</t>
  </si>
  <si>
    <t>extracts the month number from a date</t>
  </si>
  <si>
    <t>What is today’s date?</t>
  </si>
  <si>
    <t>returns the current date automatically</t>
  </si>
  <si>
    <t>What day is the check-in date?</t>
  </si>
  <si>
    <t>extracts the day number from a date</t>
  </si>
  <si>
    <t>How many days are between the two dates?</t>
  </si>
  <si>
    <t>What is the last day of the check-in month?</t>
  </si>
  <si>
    <t>returns the last date of a month</t>
  </si>
  <si>
    <t>calculates the number of days between two dates</t>
  </si>
  <si>
    <t>Nightly Rate</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</si>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</sst>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dd\-mmm\-yyyy"/>
    <numFmt numFmtId="165" formatCode="\£#,##0.00"/>
    <numFmt numFmtId="166" formatCode="0.0"/>
    <numFmt numFmtId="167" formatCode="[$GBP]\ #,##0.00"/>
    <numFmt numFmtId="168" formatCode="_-[$£-809]* #,##0.00_-;\-[$£-809]* #,##0.00_-;_-[$£-809]* &quot;-&quot;??_-;_-@_-"/>
    <numFmt numFmtId="169" formatCode="mm/dd/yy"/>
  </numFmts>
  <fonts count="15">
    <font>
      <sz val="11"/>
      <name val="Carlito"/>
    </font>
    <font>
      <b/>
      <sz val="11"/>
      <color rgb="FFFFFFFF"/>
      <name val="Carlito"/>
    </font>
    <font>
      <b/>
      <sz val="16"/>
      <color rgb="FFFFFFFF"/>
      <name val="Carlito"/>
    </font>
    <font>
      <b/>
      <sz val="11"/>
      <color rgb="FF7F6000"/>
      <name val="Carlito"/>
    </font>
    <font>
      <sz val="11"/>
      <name val="Carlito"/>
    </font>
    <font>
      <sz val="11"/>
      <color theme="1"/>
      <name val="Carlito"/>
    </font>
    <font>
      <b/>
      <sz val="28"/>
      <color theme="4"/>
      <name val="Carlito"/>
    </font>
    <font>
      <b/>
      <sz val="11"/>
      <name val="Carlito"/>
    </font>
    <font>
      <b/>
      <sz val="22"/>
      <name val="Carlito"/>
    </font>
    <font>
      <sz val="10"/>
      <name val="Arial Unicode MS"/>
      <family val="2"/>
    </font>
    <font>
      <sz val="12"/>
      <name val="Carlito"/>
    </font>
    <font>
      <b/>
      <sz val="16"/>
      <color theme="0"/>
      <name val="Carlito"/>
    </font>
    <font>
      <b/>
      <sz val="18"/>
      <color theme="0"/>
      <name val="Carlito"/>
    </font>
    <font>
      <sz val="11"/>
      <color theme="0"/>
      <name val="Carlito"/>
    </font>
    <font>
      <i/>
      <sz val="9"/>
      <name val="Carlito"/>
    </font>
  </fonts>
  <fills count="4">
    <fill>
      <patternFill patternType="none"/>
    </fill>
    <fill>
      <patternFill patternType="gray125"/>
    </fill>
    <fill>
      <patternFill patternType="solid">
        <fgColor rgb="FF1F4E78"/>
      </patternFill>
    </fill>
    <fill>
      <patternFill patternType="solid">
        <fgColor rgb="FF7CC9FF"/>
        <bgColor indexed="64"/>
      </patternFill>
    </fill>
  </fills>
  <borders count="12">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40">
    <xf numFmtId="0" fontId="0" fillId="0" borderId="0" xfId="0"/>
    <xf numFmtId="0" fontId="1" fillId="2" borderId="0" xfId="0" applyFont="1" applyFill="1" applyAlignment="1">
      <alignment horizontal="center" vertical="center" wrapText="1"/>
    </xf>
    <xf numFmtId="164" fontId="0" fillId="0" borderId="0" xfId="0" applyNumberFormat="1"/>
    <xf numFmtId="165" fontId="0" fillId="0" borderId="0" xfId="0" applyNumberFormat="1"/>
    <xf numFmtId="166" fontId="0" fillId="0" borderId="0" xfId="0" applyNumberFormat="1"/>
    <xf numFmtId="0" fontId="0" fillId="0" borderId="0" xfId="0" applyAlignment="1">
      <alignment wrapText="1"/>
    </xf>
    <xf numFmtId="14" fontId="0" fillId="0" borderId="0" xfId="0" applyNumberFormat="1"/>
    <xf numFmtId="0" fontId="0" fillId="0" borderId="0" xfId="0" pivotButton="1"/>
    <xf numFmtId="0" fontId="0" fillId="0" borderId="0" xfId="0" applyAlignment="1">
      <alignment horizontal="left"/>
    </xf>
    <xf numFmtId="167" fontId="0" fillId="0" borderId="0" xfId="0" applyNumberFormat="1"/>
    <xf numFmtId="2" fontId="0" fillId="0" borderId="0" xfId="0" applyNumberFormat="1"/>
    <xf numFmtId="0" fontId="7" fillId="0" borderId="0" xfId="0" applyFont="1"/>
    <xf numFmtId="0" fontId="14" fillId="0" borderId="0" xfId="0" applyFont="1"/>
    <xf numFmtId="168" fontId="0" fillId="0" borderId="0" xfId="0" applyNumberFormat="1"/>
    <xf numFmtId="0" fontId="5" fillId="0" borderId="1" xfId="0" applyFont="1" applyBorder="1"/>
    <xf numFmtId="0" fontId="9" fillId="0" borderId="0" xfId="0" applyFont="1"/>
    <xf numFmtId="169" fontId="0" fillId="0" borderId="0" xfId="0" applyNumberFormat="1"/>
    <xf numFmtId="10" fontId="8" fillId="3" borderId="2" xfId="0" applyNumberFormat="1" applyFont="1" applyFill="1" applyBorder="1" applyAlignment="1">
      <alignment horizontal="center"/>
    </xf>
    <xf numFmtId="0" fontId="7" fillId="3" borderId="2" xfId="0" applyFont="1" applyFill="1" applyBorder="1" applyAlignment="1">
      <alignment horizontal="center"/>
    </xf>
    <xf numFmtId="2" fontId="8" fillId="3" borderId="2" xfId="0" applyNumberFormat="1" applyFont="1" applyFill="1" applyBorder="1" applyAlignment="1">
      <alignment horizontal="center"/>
    </xf>
    <xf numFmtId="0" fontId="6" fillId="0" borderId="0" xfId="0" applyFont="1" applyAlignment="1">
      <alignment horizontal="center"/>
    </xf>
    <xf numFmtId="0" fontId="0" fillId="0" borderId="0" xfId="0" applyAlignment="1">
      <alignment horizontal="center"/>
    </xf>
    <xf numFmtId="0" fontId="7" fillId="3" borderId="9" xfId="0" applyFont="1" applyFill="1" applyBorder="1" applyAlignment="1">
      <alignment horizontal="center"/>
    </xf>
    <xf numFmtId="0" fontId="7" fillId="3" borderId="10" xfId="0" applyFont="1" applyFill="1" applyBorder="1" applyAlignment="1">
      <alignment horizontal="center"/>
    </xf>
    <xf numFmtId="0" fontId="7" fillId="3" borderId="11" xfId="0" applyFont="1" applyFill="1" applyBorder="1" applyAlignment="1">
      <alignment horizontal="center"/>
    </xf>
    <xf numFmtId="167" fontId="8" fillId="3" borderId="3" xfId="0" applyNumberFormat="1" applyFont="1" applyFill="1" applyBorder="1" applyAlignment="1">
      <alignment horizontal="center"/>
    </xf>
    <xf numFmtId="167" fontId="8" fillId="3" borderId="4" xfId="0" applyNumberFormat="1" applyFont="1" applyFill="1" applyBorder="1" applyAlignment="1">
      <alignment horizontal="center"/>
    </xf>
    <xf numFmtId="167" fontId="8" fillId="3" borderId="5" xfId="0" applyNumberFormat="1" applyFont="1" applyFill="1" applyBorder="1" applyAlignment="1">
      <alignment horizontal="center"/>
    </xf>
    <xf numFmtId="167" fontId="8" fillId="3" borderId="6" xfId="0" applyNumberFormat="1" applyFont="1" applyFill="1" applyBorder="1" applyAlignment="1">
      <alignment horizontal="center"/>
    </xf>
    <xf numFmtId="167" fontId="8" fillId="3" borderId="7" xfId="0" applyNumberFormat="1" applyFont="1" applyFill="1" applyBorder="1" applyAlignment="1">
      <alignment horizontal="center"/>
    </xf>
    <xf numFmtId="167" fontId="8" fillId="3" borderId="8" xfId="0" applyNumberFormat="1" applyFont="1" applyFill="1" applyBorder="1" applyAlignment="1">
      <alignment horizontal="center"/>
    </xf>
    <xf numFmtId="0" fontId="8" fillId="3" borderId="2" xfId="1" applyNumberFormat="1" applyFont="1" applyFill="1" applyBorder="1" applyAlignment="1">
      <alignment horizontal="center"/>
    </xf>
    <xf numFmtId="0" fontId="8" fillId="3" borderId="2" xfId="0" applyFont="1" applyFill="1" applyBorder="1" applyAlignment="1">
      <alignment horizontal="center"/>
    </xf>
    <xf numFmtId="0" fontId="0" fillId="0" borderId="2" xfId="0" applyBorder="1" applyAlignment="1">
      <alignment wrapText="1"/>
    </xf>
    <xf numFmtId="0" fontId="12" fillId="3" borderId="0" xfId="0" applyFont="1" applyFill="1" applyAlignment="1">
      <alignment horizontal="center"/>
    </xf>
    <xf numFmtId="0" fontId="10" fillId="0" borderId="2" xfId="0" applyFont="1" applyBorder="1" applyAlignment="1">
      <alignment wrapText="1"/>
    </xf>
    <xf numFmtId="0" fontId="11" fillId="3" borderId="0" xfId="0" applyFont="1" applyFill="1" applyAlignment="1">
      <alignment horizontal="center"/>
    </xf>
    <xf numFmtId="0" fontId="13" fillId="3" borderId="0" xfId="0" applyFont="1" applyFill="1" applyAlignment="1">
      <alignment horizontal="center"/>
    </xf>
    <xf numFmtId="0" fontId="2" fillId="2" borderId="0" xfId="0" applyFont="1" applyFill="1" applyAlignment="1">
      <alignment horizontal="center" vertical="center"/>
    </xf>
    <xf numFmtId="0" fontId="3" fillId="0" borderId="0" xfId="0" applyFont="1" applyFill="1" applyAlignment="1"/>
  </cellXfs>
  <cellStyles count="2">
    <cellStyle name="Currency" xfId="1" builtinId="4"/>
    <cellStyle name="Normal" xfId="0" builtinId="0"/>
  </cellStyles>
  <dxfs count="17">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bgColor rgb="FFFFF2CC"/>
        </patternFill>
      </fill>
    </dxf>
    <dxf>
      <numFmt numFmtId="19" formatCode="dd/mm/yy"/>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19" formatCode="dd/mm/yy"/>
    </dxf>
    <dxf>
      <numFmt numFmtId="19" formatCode="dd/mm/yy"/>
    </dxf>
    <dxf>
      <numFmt numFmtId="19" formatCode="dd/mm/yy"/>
    </dxf>
  </dxfs>
  <tableStyles count="0" defaultTableStyle="TableStyleMedium2" defaultPivotStyle="PivotStyleLight16"/>
  <colors>
    <mruColors>
      <color rgb="FF7CC9FF"/>
      <color rgb="FF95FF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[Hospitality_Booking_Revenue_Performa.xlsx]Pivot_Room_Type!PivotTable1</c:name>
    <c:fmtId val="1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i="0" u="none" strike="noStrike" cap="none" normalizeH="0" baseline="0"/>
              <a:t>REVENUE BY ROOM TYPE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6124557260922"/>
          <c:y val="0.22298100383929959"/>
          <c:w val="0.82432482290436837"/>
          <c:h val="0.69063550275688024"/>
        </c:manualLayout>
      </c:layout>
      <c:barChart>
        <c:barDir val="col"/>
        <c:grouping val="clustered"/>
        <c:varyColors val="0"/>
        <c:ser>
          <c:idx val="0"/>
          <c:order val="0"/>
          <c:tx>
            <c:strRef>
              <c:f>Pivot_Room_Type!$B$3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Pivot_Room_Type!$A$4:$A$9</c:f>
              <c:strCache>
                <c:ptCount val="5"/>
                <c:pt idx="0">
                  <c:v>Deluxe</c:v>
                </c:pt>
                <c:pt idx="1">
                  <c:v>Double</c:v>
                </c:pt>
                <c:pt idx="2">
                  <c:v>King</c:v>
                </c:pt>
                <c:pt idx="3">
                  <c:v>Standard</c:v>
                </c:pt>
                <c:pt idx="4">
                  <c:v>Unknown</c:v>
                </c:pt>
              </c:strCache>
            </c:strRef>
          </c:cat>
          <c:val>
            <c:numRef>
              <c:f>Pivot_Room_Type!$B$4:$B$9</c:f>
              <c:numCache>
                <c:formatCode>[$GBP]\ #,##0.00</c:formatCode>
                <c:ptCount val="5"/>
                <c:pt idx="0">
                  <c:v>7366.9</c:v>
                </c:pt>
                <c:pt idx="1">
                  <c:v>6627.7199999999993</c:v>
                </c:pt>
                <c:pt idx="2">
                  <c:v>6609.93</c:v>
                </c:pt>
                <c:pt idx="3">
                  <c:v>7009.7</c:v>
                </c:pt>
                <c:pt idx="4">
                  <c:v>1160.3000000000002</c:v>
                </c:pt>
              </c:numCache>
            </c:numRef>
          </c:val>
          <c:extLst>
            <c:ext xmlns:c16="http://schemas.microsoft.com/office/drawing/2014/chart" uri="{C3380CC4-5D6E-409C-BE32-E72D297353CC}">
              <c16:uniqueId val="{00000000-6A69-5044-8691-DF5CFD686584}"/>
            </c:ext>
          </c:extLst>
        </c:ser>
        <c:dLbls>
          <c:dLblPos val="outEnd"/>
          <c:showLegendKey val="0"/>
          <c:showVal val="1"/>
          <c:showCatName val="0"/>
          <c:showSerName val="0"/>
          <c:showPercent val="0"/>
          <c:showBubbleSize val="0"/>
        </c:dLbls>
        <c:gapWidth val="267"/>
        <c:overlap val="-43"/>
        <c:axId val="1696800640"/>
        <c:axId val="1708291200"/>
      </c:barChart>
      <c:catAx>
        <c:axId val="16968006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08291200"/>
        <c:crosses val="autoZero"/>
        <c:auto val="1"/>
        <c:lblAlgn val="ctr"/>
        <c:lblOffset val="100"/>
        <c:noMultiLvlLbl val="0"/>
      </c:catAx>
      <c:valAx>
        <c:axId val="1708291200"/>
        <c:scaling>
          <c:orientation val="minMax"/>
        </c:scaling>
        <c:delete val="0"/>
        <c:axPos val="l"/>
        <c:majorGridlines>
          <c:spPr>
            <a:ln w="9525" cap="flat" cmpd="sng" algn="ctr">
              <a:solidFill>
                <a:schemeClr val="dk1">
                  <a:lumMod val="15000"/>
                  <a:lumOff val="85000"/>
                </a:schemeClr>
              </a:solidFill>
              <a:round/>
            </a:ln>
            <a:effectLst/>
          </c:spPr>
        </c:majorGridlines>
        <c:numFmt formatCode="[$GBP]\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9680064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[Hospitality_Booking_Revenue_Performa.xlsx]Pivot_Booking_Source!PivotTable2</c:name>
    <c:fmtId val="9"/>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i="0" u="none" strike="noStrike" cap="none" normalizeH="0" baseline="0"/>
              <a:t>BOOKINGS BY BOOKING SOURCE</a:t>
            </a:r>
            <a:endParaRPr lang="en-GB"/>
          </a:p>
        </c:rich>
      </c:tx>
      <c:layout>
        <c:manualLayout>
          <c:xMode val="edge"/>
          <c:yMode val="edge"/>
          <c:x val="0.1987843015700467"/>
          <c:y val="5.554072457429395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1612651614608"/>
          <c:y val="0.22508115376431226"/>
          <c:w val="0.80130914633644412"/>
          <c:h val="0.68772174860518143"/>
        </c:manualLayout>
      </c:layout>
      <c:barChart>
        <c:barDir val="bar"/>
        <c:grouping val="clustered"/>
        <c:varyColors val="0"/>
        <c:ser>
          <c:idx val="0"/>
          <c:order val="0"/>
          <c:tx>
            <c:strRef>
              <c:f>Pivot_Booking_Source!$B$3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Pivot_Booking_Source!$A$4:$A$9</c:f>
              <c:strCache>
                <c:ptCount val="5"/>
                <c:pt idx="0">
                  <c:v>Booking.com</c:v>
                </c:pt>
                <c:pt idx="1">
                  <c:v>Direct</c:v>
                </c:pt>
                <c:pt idx="2">
                  <c:v>Expedia</c:v>
                </c:pt>
                <c:pt idx="3">
                  <c:v>Unknown</c:v>
                </c:pt>
                <c:pt idx="4">
                  <c:v>Walk-in</c:v>
                </c:pt>
              </c:strCache>
            </c:strRef>
          </c:cat>
          <c:val>
            <c:numRef>
              <c:f>Pivot_Booking_Source!$B$4:$B$9</c:f>
              <c:numCache>
                <c:formatCode>General</c:formatCode>
                <c:ptCount val="5"/>
                <c:pt idx="0">
                  <c:v>30</c:v>
                </c:pt>
                <c:pt idx="1">
                  <c:v>28</c:v>
                </c:pt>
                <c:pt idx="2">
                  <c:v>30</c:v>
                </c:pt>
                <c:pt idx="3">
                  <c:v>3</c:v>
                </c:pt>
                <c:pt idx="4">
                  <c:v>29</c:v>
                </c:pt>
              </c:numCache>
            </c:numRef>
          </c:val>
          <c:extLst>
            <c:ext xmlns:c16="http://schemas.microsoft.com/office/drawing/2014/chart" uri="{C3380CC4-5D6E-409C-BE32-E72D297353CC}">
              <c16:uniqueId val="{00000000-D6D3-2644-9802-2C82AE34EC99}"/>
            </c:ext>
          </c:extLst>
        </c:ser>
        <c:dLbls>
          <c:dLblPos val="outEnd"/>
          <c:showLegendKey val="0"/>
          <c:showVal val="1"/>
          <c:showCatName val="0"/>
          <c:showSerName val="0"/>
          <c:showPercent val="0"/>
          <c:showBubbleSize val="0"/>
        </c:dLbls>
        <c:gapWidth val="247"/>
        <c:axId val="1709538624"/>
        <c:axId val="1709596544"/>
      </c:barChart>
      <c:catAx>
        <c:axId val="17095386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09596544"/>
        <c:crosses val="autoZero"/>
        <c:auto val="1"/>
        <c:lblAlgn val="ctr"/>
        <c:lblOffset val="100"/>
        <c:noMultiLvlLbl val="0"/>
      </c:catAx>
      <c:valAx>
        <c:axId val="1709596544"/>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0953862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[Hospitality_Booking_Revenue_Performa.xlsx]Pivot_Booking_Status!PivotTable3</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sz="1600" b="1" i="0" u="none" strike="noStrike" normalizeH="0" baseline="0"/>
              <a:t>BOOKINGS BY STATUS</a:t>
            </a:r>
            <a:endParaRPr lang="en-GB"/>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GB"/>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9.4444444444444442E-2"/>
              <c:y val="0"/>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dLbl>
          <c:idx val="0"/>
          <c:layout>
            <c:manualLayout>
              <c:x val="-6.1111111111111109E-2"/>
              <c:y val="0"/>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Pivot_Booking_Status!$B$3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39EF-0F43-AB2B-4EEFB576BAD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39EF-0F43-AB2B-4EEFB576BAD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39EF-0F43-AB2B-4EEFB576BA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Pivot_Booking_Status!$A$4:$A$7</c:f>
              <c:strCache>
                <c:ptCount val="3"/>
                <c:pt idx="0">
                  <c:v>Cancelled</c:v>
                </c:pt>
                <c:pt idx="1">
                  <c:v>Completed</c:v>
                </c:pt>
                <c:pt idx="2">
                  <c:v>No-Show</c:v>
                </c:pt>
              </c:strCache>
            </c:strRef>
          </c:cat>
          <c:val>
            <c:numRef>
              <c:f>Pivot_Booking_Status!$B$4:$B$7</c:f>
              <c:numCache>
                <c:formatCode>General</c:formatCode>
                <c:ptCount val="3"/>
                <c:pt idx="0">
                  <c:v>14</c:v>
                </c:pt>
                <c:pt idx="1">
                  <c:v>98</c:v>
                </c:pt>
                <c:pt idx="2">
                  <c:v>8</c:v>
                </c:pt>
              </c:numCache>
            </c:numRef>
          </c:val>
          <c:extLst>
            <c:ext xmlns:c16="http://schemas.microsoft.com/office/drawing/2014/chart" uri="{C3380CC4-5D6E-409C-BE32-E72D297353CC}">
              <c16:uniqueId val="{00000006-39EF-0F43-AB2B-4EEFB576BAD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[Hospitality_Booking_Revenue_Performa.xlsx]Pivot_Monthly_Revenue!PivotTable4</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Pivot_Monthly_Revenue!$B$3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Pivot_Monthly_Revenue!$A$4:$A$16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Pivot_Monthly_Revenue!$B$4:$B$16</c:f>
              <c:numCache>
                <c:formatCode>General</c:formatCode>
                <c:ptCount val="12"/>
                <c:pt idx="0">
                  <c:v>2086.31</c:v>
                </c:pt>
                <c:pt idx="1">
                  <c:v>2022.94</c:v>
                </c:pt>
                <c:pt idx="2">
                  <c:v>1855.21</c:v>
                </c:pt>
                <c:pt idx="3">
                  <c:v>1166.69</c:v>
                </c:pt>
                <c:pt idx="4">
                  <c:v>2323.92</c:v>
                </c:pt>
                <c:pt idx="5">
                  <c:v>1336.26</c:v>
                </c:pt>
                <c:pt idx="6">
                  <c:v>1502.27</c:v>
                </c:pt>
                <c:pt idx="7">
                  <c:v>2993.44</c:v>
                </c:pt>
                <c:pt idx="8">
                  <c:v>2455.7600000000002</c:v>
                </c:pt>
                <c:pt idx="9">
                  <c:v>4162.18</c:v>
                </c:pt>
                <c:pt idx="10">
                  <c:v>3293.11</c:v>
                </c:pt>
                <c:pt idx="11">
                  <c:v>3576.46</c:v>
                </c:pt>
              </c:numCache>
            </c:numRef>
          </c:val>
          <c:smooth val="0"/>
          <c:extLst>
            <c:ext xmlns:c16="http://schemas.microsoft.com/office/drawing/2014/chart" uri="{C3380CC4-5D6E-409C-BE32-E72D297353CC}">
              <c16:uniqueId val="{00000000-C08B-3D4F-B94A-B7F3A0F5C78B}"/>
            </c:ext>
          </c:extLst>
        </c:ser>
        <c:dLbls>
          <c:showLegendKey val="0"/>
          <c:showVal val="0"/>
          <c:showCatName val="0"/>
          <c:showSerName val="0"/>
          <c:showPercent val="0"/>
          <c:showBubbleSize val="0"/>
        </c:dLbls>
        <c:marker val="1"/>
        <c:smooth val="0"/>
        <c:axId val="1676954688"/>
        <c:axId val="1691096768"/>
      </c:lineChart>
      <c:catAx>
        <c:axId val="1676954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1096768"/>
        <c:crosses val="autoZero"/>
        <c:auto val="1"/>
        <c:lblAlgn val="ctr"/>
        <c:lblOffset val="100"/>
        <c:noMultiLvlLbl val="0"/>
      </c:catAx>
      <c:valAx>
        <c:axId val="1691096768"/>
        <c:scaling>
          <c:orientation val="minMax"/>
        </c:scaling>
        <c:delete val="0"/>
        <c:axPos val="l"/>
        <c:numFmt formatCode="[$GBP]\ #,##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9546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[Hospitality_Booking_Revenue_Performa.xlsx]Pivot_Room_Rating!PivotTable5</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AVERAGE RATING BY ROOM TYPE</a:t>
            </a:r>
            <a:endParaRPr lang="en-GB"/>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GB"/>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Pivot_Room_Rating!$B$3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Pivot_Room_Rating!$A$4:$A$9</c:f>
              <c:strCache>
                <c:ptCount val="5"/>
                <c:pt idx="0">
                  <c:v>Deluxe</c:v>
                </c:pt>
                <c:pt idx="1">
                  <c:v>Double</c:v>
                </c:pt>
                <c:pt idx="2">
                  <c:v>King</c:v>
                </c:pt>
                <c:pt idx="3">
                  <c:v>Standard</c:v>
                </c:pt>
                <c:pt idx="4">
                  <c:v>Unknown</c:v>
                </c:pt>
              </c:strCache>
            </c:strRef>
          </c:cat>
          <c:val>
            <c:numRef>
              <c:f>Pivot_Room_Rating!$B$4:$B$9</c:f>
              <c:numCache>
                <c:formatCode>0.00</c:formatCode>
                <c:ptCount val="5"/>
                <c:pt idx="0">
                  <c:v>4.333333333333333</c:v>
                </c:pt>
                <c:pt idx="1">
                  <c:v>4.0909090909090908</c:v>
                </c:pt>
                <c:pt idx="2">
                  <c:v>4.0999999999999996</c:v>
                </c:pt>
                <c:pt idx="3">
                  <c:v>4</c:v>
                </c:pt>
                <c:pt idx="4">
                  <c:v>4.666666666666667</c:v>
                </c:pt>
              </c:numCache>
            </c:numRef>
          </c:val>
          <c:extLst>
            <c:ext xmlns:c16="http://schemas.microsoft.com/office/drawing/2014/chart" uri="{C3380CC4-5D6E-409C-BE32-E72D297353CC}">
              <c16:uniqueId val="{00000000-E15F-0746-8ED2-996170C4CCA5}"/>
            </c:ext>
          </c:extLst>
        </c:ser>
        <c:dLbls>
          <c:dLblPos val="outEnd"/>
          <c:showLegendKey val="0"/>
          <c:showVal val="1"/>
          <c:showCatName val="0"/>
          <c:showSerName val="0"/>
          <c:showPercent val="0"/>
          <c:showBubbleSize val="0"/>
        </c:dLbls>
        <c:gapWidth val="247"/>
        <c:axId val="1708926144"/>
        <c:axId val="1645751232"/>
      </c:barChart>
      <c:catAx>
        <c:axId val="17089261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45751232"/>
        <c:crosses val="autoZero"/>
        <c:auto val="1"/>
        <c:lblAlgn val="ctr"/>
        <c:lblOffset val="100"/>
        <c:noMultiLvlLbl val="0"/>
      </c:catAx>
      <c:valAx>
        <c:axId val="1645751232"/>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0892614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[Hospitality_Booking_Revenue_Performa.xlsx]Pivot_Room_Type!PivotTable1</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Room Type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Pivot_Room_Type!$B$3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Pivot_Room_Type!$A$4:$A$9</c:f>
              <c:strCache>
                <c:ptCount val="5"/>
                <c:pt idx="0">
                  <c:v>Deluxe</c:v>
                </c:pt>
                <c:pt idx="1">
                  <c:v>Double</c:v>
                </c:pt>
                <c:pt idx="2">
                  <c:v>King</c:v>
                </c:pt>
                <c:pt idx="3">
                  <c:v>Standard</c:v>
                </c:pt>
                <c:pt idx="4">
                  <c:v>Unknown</c:v>
                </c:pt>
              </c:strCache>
            </c:strRef>
          </c:cat>
          <c:val>
            <c:numRef>
              <c:f>Pivot_Room_Type!$B$4:$B$9</c:f>
              <c:numCache>
                <c:formatCode>[$GBP]\ #,##0.00</c:formatCode>
                <c:ptCount val="5"/>
                <c:pt idx="0">
                  <c:v>7366.9</c:v>
                </c:pt>
                <c:pt idx="1">
                  <c:v>6627.7199999999993</c:v>
                </c:pt>
                <c:pt idx="2">
                  <c:v>6609.93</c:v>
                </c:pt>
                <c:pt idx="3">
                  <c:v>7009.7</c:v>
                </c:pt>
                <c:pt idx="4">
                  <c:v>1160.3000000000002</c:v>
                </c:pt>
              </c:numCache>
            </c:numRef>
          </c:val>
          <c:extLst>
            <c:ext xmlns:c16="http://schemas.microsoft.com/office/drawing/2014/chart" uri="{C3380CC4-5D6E-409C-BE32-E72D297353CC}">
              <c16:uniqueId val="{00000000-F433-A84B-B82D-18EFBC6D62FD}"/>
            </c:ext>
          </c:extLst>
        </c:ser>
        <c:dLbls>
          <c:dLblPos val="outEnd"/>
          <c:showLegendKey val="0"/>
          <c:showVal val="1"/>
          <c:showCatName val="0"/>
          <c:showSerName val="0"/>
          <c:showPercent val="0"/>
          <c:showBubbleSize val="0"/>
        </c:dLbls>
        <c:gapWidth val="164"/>
        <c:overlap val="-22"/>
        <c:axId val="1696800640"/>
        <c:axId val="1708291200"/>
      </c:barChart>
      <c:catAx>
        <c:axId val="169680064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1200"/>
        <c:crosses val="autoZero"/>
        <c:auto val="1"/>
        <c:lblAlgn val="ctr"/>
        <c:lblOffset val="100"/>
        <c:noMultiLvlLbl val="0"/>
      </c:catAx>
      <c:valAx>
        <c:axId val="1708291200"/>
        <c:scaling>
          <c:orientation val="minMax"/>
        </c:scaling>
        <c:delete val="0"/>
        <c:axPos val="l"/>
        <c:numFmt formatCode="[$GBP]\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80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[Hospitality_Booking_Revenue_Performa.xlsx]Pivot_Booking_Source!PivotTable2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Bookings by Booking Source</a:t>
            </a:r>
          </a:p>
        </c:rich>
      </c:tx>
      <c:layout>
        <c:manualLayout>
          <c:xMode val="edge"/>
          <c:yMode val="edge"/>
          <c:x val="0.14334011373578304"/>
          <c:y val="6.018518518518518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Pivot_Booking_Source!$B$3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Pivot_Booking_Source!$A$4:$A$9</c:f>
              <c:strCache>
                <c:ptCount val="5"/>
                <c:pt idx="0">
                  <c:v>Booking.com</c:v>
                </c:pt>
                <c:pt idx="1">
                  <c:v>Direct</c:v>
                </c:pt>
                <c:pt idx="2">
                  <c:v>Expedia</c:v>
                </c:pt>
                <c:pt idx="3">
                  <c:v>Unknown</c:v>
                </c:pt>
                <c:pt idx="4">
                  <c:v>Walk-in</c:v>
                </c:pt>
              </c:strCache>
            </c:strRef>
          </c:cat>
          <c:val>
            <c:numRef>
              <c:f>Pivot_Booking_Source!$B$4:$B$9</c:f>
              <c:numCache>
                <c:formatCode>General</c:formatCode>
                <c:ptCount val="5"/>
                <c:pt idx="0">
                  <c:v>30</c:v>
                </c:pt>
                <c:pt idx="1">
                  <c:v>28</c:v>
                </c:pt>
                <c:pt idx="2">
                  <c:v>30</c:v>
                </c:pt>
                <c:pt idx="3">
                  <c:v>3</c:v>
                </c:pt>
                <c:pt idx="4">
                  <c:v>29</c:v>
                </c:pt>
              </c:numCache>
            </c:numRef>
          </c:val>
          <c:extLst>
            <c:ext xmlns:c16="http://schemas.microsoft.com/office/drawing/2014/chart" uri="{C3380CC4-5D6E-409C-BE32-E72D297353CC}">
              <c16:uniqueId val="{00000000-0FB0-204F-BF56-2CA1056FA4DF}"/>
            </c:ext>
          </c:extLst>
        </c:ser>
        <c:dLbls>
          <c:dLblPos val="outEnd"/>
          <c:showLegendKey val="0"/>
          <c:showVal val="1"/>
          <c:showCatName val="0"/>
          <c:showSerName val="0"/>
          <c:showPercent val="0"/>
          <c:showBubbleSize val="0"/>
        </c:dLbls>
        <c:gapWidth val="164"/>
        <c:axId val="1709538624"/>
        <c:axId val="1709596544"/>
      </c:barChart>
      <c:catAx>
        <c:axId val="17095386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596544"/>
        <c:crosses val="autoZero"/>
        <c:auto val="1"/>
        <c:lblAlgn val="ctr"/>
        <c:lblOffset val="100"/>
        <c:noMultiLvlLbl val="0"/>
      </c:catAx>
      <c:valAx>
        <c:axId val="1709596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53862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[Hospitality_Booking_Revenue_Performa.xlsx]Pivot_Booking_Status!PivotTable3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Bookings by Status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44444444444444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11111111111111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Pivot_Booking_Status!$B$3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175-8B43-BDB4-AD14656CAC5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175-8B43-BDB4-AD14656CAC5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175-8B43-BDB4-AD14656CAC5F}"/>
              </c:ext>
            </c:extLst>
          </c:dPt>
          <c:dLbls>
            <c:dLbl>
              <c:idx val="0"/>
              <c:layout>
                <c:manualLayout>
                  <c:x val="9.4444444444444442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75-8B43-BDB4-AD14656CAC5F}"/>
                </c:ext>
              </c:extLst>
            </c:dLbl>
            <c:dLbl>
              <c:idx val="2"/>
              <c:layout>
                <c:manualLayout>
                  <c:x val="-6.1111111111111109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75-8B43-BDB4-AD14656CAC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Pivot_Booking_Status!$A$4:$A$7</c:f>
              <c:strCache>
                <c:ptCount val="3"/>
                <c:pt idx="0">
                  <c:v>Cancelled</c:v>
                </c:pt>
                <c:pt idx="1">
                  <c:v>Completed</c:v>
                </c:pt>
                <c:pt idx="2">
                  <c:v>No-Show</c:v>
                </c:pt>
              </c:strCache>
            </c:strRef>
          </c:cat>
          <c:val>
            <c:numRef>
              <c:f>Pivot_Booking_Status!$B$4:$B$7</c:f>
              <c:numCache>
                <c:formatCode>General</c:formatCode>
                <c:ptCount val="3"/>
                <c:pt idx="0">
                  <c:v>14</c:v>
                </c:pt>
                <c:pt idx="1">
                  <c:v>98</c:v>
                </c:pt>
                <c:pt idx="2">
                  <c:v>8</c:v>
                </c:pt>
              </c:numCache>
            </c:numRef>
          </c:val>
          <c:extLst>
            <c:ext xmlns:c16="http://schemas.microsoft.com/office/drawing/2014/chart" uri="{C3380CC4-5D6E-409C-BE32-E72D297353CC}">
              <c16:uniqueId val="{00000006-E175-8B43-BDB4-AD14656CAC5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[Hospitality_Booking_Revenue_Performa.xlsx]Pivot_Monthly_Revenue!PivotTable4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Pivot_Monthly_Revenue!$B$3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Pivot_Monthly_Revenue!$A$4:$A$16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Pivot_Monthly_Revenue!$B$4:$B$16</c:f>
              <c:numCache>
                <c:formatCode>General</c:formatCode>
                <c:ptCount val="12"/>
                <c:pt idx="0">
                  <c:v>2086.31</c:v>
                </c:pt>
                <c:pt idx="1">
                  <c:v>2022.94</c:v>
                </c:pt>
                <c:pt idx="2">
                  <c:v>1855.21</c:v>
                </c:pt>
                <c:pt idx="3">
                  <c:v>1166.69</c:v>
                </c:pt>
                <c:pt idx="4">
                  <c:v>2323.92</c:v>
                </c:pt>
                <c:pt idx="5">
                  <c:v>1336.26</c:v>
                </c:pt>
                <c:pt idx="6">
                  <c:v>1502.27</c:v>
                </c:pt>
                <c:pt idx="7">
                  <c:v>2993.44</c:v>
                </c:pt>
                <c:pt idx="8">
                  <c:v>2455.7600000000002</c:v>
                </c:pt>
                <c:pt idx="9">
                  <c:v>4162.18</c:v>
                </c:pt>
                <c:pt idx="10">
                  <c:v>3293.11</c:v>
                </c:pt>
                <c:pt idx="11">
                  <c:v>3576.46</c:v>
                </c:pt>
              </c:numCache>
            </c:numRef>
          </c:val>
          <c:smooth val="0"/>
          <c:extLst>
            <c:ext xmlns:c16="http://schemas.microsoft.com/office/drawing/2014/chart" uri="{C3380CC4-5D6E-409C-BE32-E72D297353CC}">
              <c16:uniqueId val="{00000000-3010-D047-A0CA-BE27A99AAAE2}"/>
            </c:ext>
          </c:extLst>
        </c:ser>
        <c:dLbls>
          <c:showLegendKey val="0"/>
          <c:showVal val="0"/>
          <c:showCatName val="0"/>
          <c:showSerName val="0"/>
          <c:showPercent val="0"/>
          <c:showBubbleSize val="0"/>
        </c:dLbls>
        <c:marker val="1"/>
        <c:smooth val="0"/>
        <c:axId val="1676954688"/>
        <c:axId val="1691096768"/>
      </c:lineChart>
      <c:catAx>
        <c:axId val="167695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96768"/>
        <c:crosses val="autoZero"/>
        <c:auto val="1"/>
        <c:lblAlgn val="ctr"/>
        <c:lblOffset val="100"/>
        <c:noMultiLvlLbl val="0"/>
      </c:catAx>
      <c:valAx>
        <c:axId val="1691096768"/>
        <c:scaling>
          <c:orientation val="minMax"/>
        </c:scaling>
        <c:delete val="0"/>
        <c:axPos val="l"/>
        <c:majorGridlines>
          <c:spPr>
            <a:ln w="9525" cap="flat" cmpd="sng" algn="ctr">
              <a:solidFill>
                <a:schemeClr val="tx1">
                  <a:lumMod val="15000"/>
                  <a:lumOff val="85000"/>
                </a:schemeClr>
              </a:solidFill>
              <a:round/>
            </a:ln>
            <a:effectLst/>
          </c:spPr>
        </c:majorGridlines>
        <c:numFmt formatCode="[$GBP]\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9546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[Hospitality_Booking_Revenue_Performa.xlsx]Pivot_Room_Rating!PivotTable5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Rating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Pivot_Room_Rating!$B$3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Pivot_Room_Rating!$A$4:$A$9</c:f>
              <c:strCache>
                <c:ptCount val="5"/>
                <c:pt idx="0">
                  <c:v>Deluxe</c:v>
                </c:pt>
                <c:pt idx="1">
                  <c:v>Double</c:v>
                </c:pt>
                <c:pt idx="2">
                  <c:v>King</c:v>
                </c:pt>
                <c:pt idx="3">
                  <c:v>Standard</c:v>
                </c:pt>
                <c:pt idx="4">
                  <c:v>Unknown</c:v>
                </c:pt>
              </c:strCache>
            </c:strRef>
          </c:cat>
          <c:val>
            <c:numRef>
              <c:f>Pivot_Room_Rating!$B$4:$B$9</c:f>
              <c:numCache>
                <c:formatCode>0.00</c:formatCode>
                <c:ptCount val="5"/>
                <c:pt idx="0">
                  <c:v>4.333333333333333</c:v>
                </c:pt>
                <c:pt idx="1">
                  <c:v>4.0909090909090908</c:v>
                </c:pt>
                <c:pt idx="2">
                  <c:v>4.0999999999999996</c:v>
                </c:pt>
                <c:pt idx="3">
                  <c:v>4</c:v>
                </c:pt>
                <c:pt idx="4">
                  <c:v>4.666666666666667</c:v>
                </c:pt>
              </c:numCache>
            </c:numRef>
          </c:val>
          <c:extLst>
            <c:ext xmlns:c16="http://schemas.microsoft.com/office/drawing/2014/chart" uri="{C3380CC4-5D6E-409C-BE32-E72D297353CC}">
              <c16:uniqueId val="{00000000-590B-F34C-B3D9-F3849A51892B}"/>
            </c:ext>
          </c:extLst>
        </c:ser>
        <c:dLbls>
          <c:dLblPos val="outEnd"/>
          <c:showLegendKey val="0"/>
          <c:showVal val="1"/>
          <c:showCatName val="0"/>
          <c:showSerName val="0"/>
          <c:showPercent val="0"/>
          <c:showBubbleSize val="0"/>
        </c:dLbls>
        <c:gapWidth val="182"/>
        <c:axId val="1708926144"/>
        <c:axId val="1645751232"/>
      </c:barChart>
      <c:catAx>
        <c:axId val="170892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51232"/>
        <c:crosses val="autoZero"/>
        <c:auto val="1"/>
        <c:lblAlgn val="ctr"/>
        <c:lblOffset val="100"/>
        <c:noMultiLvlLbl val="0"/>
      </c:catAx>
      <c:valAx>
        <c:axId val="16457512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2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276246</xdr:colOff>
      <xdr:row>8</xdr:row>
      <xdr:rowOff>88897</xdr:rowOff>
    </xdr:from>
    <xdr:to>
      <xdr:col>7</xdr:col>
      <xdr:colOff>162793</xdr:colOff>
      <xdr:row>24</xdr:row>
      <xdr:rowOff>9875</xdr:rowOff>
    </xdr:to>
    <xdr:graphicFrame macro="">
      <xdr:nvGraphicFramePr>
        <xdr:cNvPr id="2" name="Chart 1">
          <a:extLst>
            <a:ext uri="{FF2B5EF4-FFF2-40B4-BE49-F238E27FC236}">
              <a16:creationId xmlns:a16="http://schemas.microsoft.com/office/drawing/2014/main" id="{92DACE1C-3AB8-054D-A46D-1AD79ECEC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591828</xdr:colOff>
      <xdr:row>8</xdr:row>
      <xdr:rowOff>88897</xdr:rowOff>
    </xdr:from>
    <xdr:to>
      <xdr:col>14</xdr:col>
      <xdr:colOff>478375</xdr:colOff>
      <xdr:row>24</xdr:row>
      <xdr:rowOff>9875</xdr:rowOff>
    </xdr:to>
    <xdr:graphicFrame macro="">
      <xdr:nvGraphicFramePr>
        <xdr:cNvPr id="3" name="Chart 2">
          <a:extLst>
            <a:ext uri="{FF2B5EF4-FFF2-40B4-BE49-F238E27FC236}">
              <a16:creationId xmlns:a16="http://schemas.microsoft.com/office/drawing/2014/main" id="{CE78F24C-2480-2C48-B0CD-BFD8E8AC1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408801</xdr:colOff>
      <xdr:row>26</xdr:row>
      <xdr:rowOff>143306</xdr:rowOff>
    </xdr:from>
    <xdr:to>
      <xdr:col>7</xdr:col>
      <xdr:colOff>295348</xdr:colOff>
      <xdr:row>42</xdr:row>
      <xdr:rowOff>64284</xdr:rowOff>
    </xdr:to>
    <xdr:graphicFrame macro="">
      <xdr:nvGraphicFramePr>
        <xdr:cNvPr id="4" name="Chart 3">
          <a:extLst>
            <a:ext uri="{FF2B5EF4-FFF2-40B4-BE49-F238E27FC236}">
              <a16:creationId xmlns:a16="http://schemas.microsoft.com/office/drawing/2014/main" id="{6047CB06-58D5-3848-8089-F0B52413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258457</xdr:colOff>
      <xdr:row>26</xdr:row>
      <xdr:rowOff>143306</xdr:rowOff>
    </xdr:from>
    <xdr:to>
      <xdr:col>14</xdr:col>
      <xdr:colOff>145004</xdr:colOff>
      <xdr:row>42</xdr:row>
      <xdr:rowOff>64284</xdr:rowOff>
    </xdr:to>
    <xdr:graphicFrame macro="">
      <xdr:nvGraphicFramePr>
        <xdr:cNvPr id="5" name="Chart 4">
          <a:extLst>
            <a:ext uri="{FF2B5EF4-FFF2-40B4-BE49-F238E27FC236}">
              <a16:creationId xmlns:a16="http://schemas.microsoft.com/office/drawing/2014/main" id="{32647804-68BE-E449-B499-D49141CA4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532966</xdr:colOff>
      <xdr:row>43</xdr:row>
      <xdr:rowOff>139935</xdr:rowOff>
    </xdr:from>
    <xdr:to>
      <xdr:col>7</xdr:col>
      <xdr:colOff>419513</xdr:colOff>
      <xdr:row>59</xdr:row>
      <xdr:rowOff>55873</xdr:rowOff>
    </xdr:to>
    <xdr:graphicFrame macro="">
      <xdr:nvGraphicFramePr>
        <xdr:cNvPr id="6" name="Chart 5">
          <a:extLst>
            <a:ext uri="{FF2B5EF4-FFF2-40B4-BE49-F238E27FC236}">
              <a16:creationId xmlns:a16="http://schemas.microsoft.com/office/drawing/2014/main" id="{5569C7C9-869B-FB48-B024-21A3ECF3A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435704</xdr:colOff>
      <xdr:row>8</xdr:row>
      <xdr:rowOff>29484</xdr:rowOff>
    </xdr:from>
    <xdr:to>
      <xdr:col>17</xdr:col>
      <xdr:colOff>275966</xdr:colOff>
      <xdr:row>20</xdr:row>
      <xdr:rowOff>105424</xdr:rowOff>
    </xdr:to>
    <mc:AlternateContent xmlns:mc="http://schemas.openxmlformats.org/markup-compatibility/2006" xmlns:a14="http://schemas.microsoft.com/office/drawing/2010/main">
      <mc:Choice Requires="a14">
        <xdr:graphicFrame macro="">
          <xdr:nvGraphicFramePr>
            <xdr:cNvPr id="7" name="Room_Type">
              <a:extLst>
                <a:ext uri="{FF2B5EF4-FFF2-40B4-BE49-F238E27FC236}">
                  <a16:creationId xmlns:a16="http://schemas.microsoft.com/office/drawing/2014/main" id="{23F16D59-314B-7F4D-912D-8DEE0EC11A04}"/>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12881704" y="1519617"/>
              <a:ext cx="1499729" cy="2311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611586</xdr:colOff>
      <xdr:row>8</xdr:row>
      <xdr:rowOff>29484</xdr:rowOff>
    </xdr:from>
    <xdr:to>
      <xdr:col>19</xdr:col>
      <xdr:colOff>704659</xdr:colOff>
      <xdr:row>20</xdr:row>
      <xdr:rowOff>105424</xdr:rowOff>
    </xdr:to>
    <mc:AlternateContent xmlns:mc="http://schemas.openxmlformats.org/markup-compatibility/2006" xmlns:a14="http://schemas.microsoft.com/office/drawing/2010/main">
      <mc:Choice Requires="a14">
        <xdr:graphicFrame macro="">
          <xdr:nvGraphicFramePr>
            <xdr:cNvPr id="8" name="Booking_Source">
              <a:extLst>
                <a:ext uri="{FF2B5EF4-FFF2-40B4-BE49-F238E27FC236}">
                  <a16:creationId xmlns:a16="http://schemas.microsoft.com/office/drawing/2014/main" id="{AE6A4807-4687-A44D-89DA-99FC618191AD}"/>
                </a:ext>
              </a:extLst>
            </xdr:cNvPr>
            <xdr:cNvGraphicFramePr/>
          </xdr:nvGraphicFramePr>
          <xdr:xfrm>
            <a:off x="0" y="0"/>
            <a:ext cx="0" cy="0"/>
          </xdr:xfrm>
          <a:graphic>
            <a:graphicData uri="http://schemas.microsoft.com/office/drawing/2010/slicer">
              <sle:slicer xmlns:sle="http://schemas.microsoft.com/office/drawing/2010/slicer" name="Booking_Source"/>
            </a:graphicData>
          </a:graphic>
        </xdr:graphicFrame>
      </mc:Choice>
      <mc:Fallback xmlns="">
        <xdr:sp macro="" textlink="">
          <xdr:nvSpPr>
            <xdr:cNvPr id="0" name=""/>
            <xdr:cNvSpPr>
              <a:spLocks noTextEdit="1"/>
            </xdr:cNvSpPr>
          </xdr:nvSpPr>
          <xdr:spPr>
            <a:xfrm>
              <a:off x="14717053" y="1519617"/>
              <a:ext cx="1752539" cy="2311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223851</xdr:colOff>
      <xdr:row>8</xdr:row>
      <xdr:rowOff>29484</xdr:rowOff>
    </xdr:from>
    <xdr:to>
      <xdr:col>22</xdr:col>
      <xdr:colOff>316923</xdr:colOff>
      <xdr:row>20</xdr:row>
      <xdr:rowOff>114371</xdr:rowOff>
    </xdr:to>
    <mc:AlternateContent xmlns:mc="http://schemas.openxmlformats.org/markup-compatibility/2006" xmlns:a14="http://schemas.microsoft.com/office/drawing/2010/main">
      <mc:Choice Requires="a14">
        <xdr:graphicFrame macro="">
          <xdr:nvGraphicFramePr>
            <xdr:cNvPr id="9" name="Payment_Status 1">
              <a:extLst>
                <a:ext uri="{FF2B5EF4-FFF2-40B4-BE49-F238E27FC236}">
                  <a16:creationId xmlns:a16="http://schemas.microsoft.com/office/drawing/2014/main" id="{E2F73C22-28C8-FC46-A978-9CCD9653B48F}"/>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16818518" y="1519617"/>
              <a:ext cx="1752538" cy="23200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652544</xdr:colOff>
      <xdr:row>8</xdr:row>
      <xdr:rowOff>29484</xdr:rowOff>
    </xdr:from>
    <xdr:to>
      <xdr:col>24</xdr:col>
      <xdr:colOff>734187</xdr:colOff>
      <xdr:row>20</xdr:row>
      <xdr:rowOff>112960</xdr:rowOff>
    </xdr:to>
    <mc:AlternateContent xmlns:mc="http://schemas.openxmlformats.org/markup-compatibility/2006" xmlns:a14="http://schemas.microsoft.com/office/drawing/2010/main">
      <mc:Choice Requires="a14">
        <xdr:graphicFrame macro="">
          <xdr:nvGraphicFramePr>
            <xdr:cNvPr id="10" name="Guest_Country">
              <a:extLst>
                <a:ext uri="{FF2B5EF4-FFF2-40B4-BE49-F238E27FC236}">
                  <a16:creationId xmlns:a16="http://schemas.microsoft.com/office/drawing/2014/main" id="{2BBFE90A-8300-3E47-8B31-FED848DDEA0D}"/>
                </a:ext>
              </a:extLst>
            </xdr:cNvPr>
            <xdr:cNvGraphicFramePr/>
          </xdr:nvGraphicFramePr>
          <xdr:xfrm>
            <a:off x="0" y="0"/>
            <a:ext cx="0" cy="0"/>
          </xdr:xfrm>
          <a:graphic>
            <a:graphicData uri="http://schemas.microsoft.com/office/drawing/2010/slicer">
              <sle:slicer xmlns:sle="http://schemas.microsoft.com/office/drawing/2010/slicer" name="Guest_Country"/>
            </a:graphicData>
          </a:graphic>
        </xdr:graphicFrame>
      </mc:Choice>
      <mc:Fallback xmlns="">
        <xdr:sp macro="" textlink="">
          <xdr:nvSpPr>
            <xdr:cNvPr id="0" name=""/>
            <xdr:cNvSpPr>
              <a:spLocks noTextEdit="1"/>
            </xdr:cNvSpPr>
          </xdr:nvSpPr>
          <xdr:spPr>
            <a:xfrm>
              <a:off x="18906677" y="1519617"/>
              <a:ext cx="1741110" cy="23186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209515</xdr:colOff>
      <xdr:row>24</xdr:row>
      <xdr:rowOff>36464</xdr:rowOff>
    </xdr:from>
    <xdr:to>
      <xdr:col>22</xdr:col>
      <xdr:colOff>252618</xdr:colOff>
      <xdr:row>30</xdr:row>
      <xdr:rowOff>126171</xdr:rowOff>
    </xdr:to>
    <mc:AlternateContent xmlns:mc="http://schemas.openxmlformats.org/markup-compatibility/2006" xmlns:tsle="http://schemas.microsoft.com/office/drawing/2012/timeslicer">
      <mc:Choice Requires="tsle">
        <xdr:graphicFrame macro="">
          <xdr:nvGraphicFramePr>
            <xdr:cNvPr id="11" name="Check_In_Date 1">
              <a:extLst>
                <a:ext uri="{FF2B5EF4-FFF2-40B4-BE49-F238E27FC236}">
                  <a16:creationId xmlns:a16="http://schemas.microsoft.com/office/drawing/2014/main" id="{2A5B9B2B-CE5F-6349-8484-471C18CBE192}"/>
                </a:ext>
              </a:extLst>
            </xdr:cNvPr>
            <xdr:cNvGraphicFramePr/>
          </xdr:nvGraphicFramePr>
          <xdr:xfrm>
            <a:off x="0" y="0"/>
            <a:ext cx="0" cy="0"/>
          </xdr:xfrm>
          <a:graphic>
            <a:graphicData uri="http://schemas.microsoft.com/office/drawing/2012/timeslicer">
              <tsle:timeslicer name="Check_In_Date 1"/>
            </a:graphicData>
          </a:graphic>
        </xdr:graphicFrame>
      </mc:Choice>
      <mc:Fallback xmlns="">
        <xdr:sp macro="" textlink="">
          <xdr:nvSpPr>
            <xdr:cNvPr id="0" name=""/>
            <xdr:cNvSpPr>
              <a:spLocks noTextEdit="1"/>
            </xdr:cNvSpPr>
          </xdr:nvSpPr>
          <xdr:spPr>
            <a:xfrm>
              <a:off x="15144715" y="4506864"/>
              <a:ext cx="3362036" cy="1207307"/>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673100</xdr:colOff>
      <xdr:row>21</xdr:row>
      <xdr:rowOff>12700</xdr:rowOff>
    </xdr:from>
    <xdr:to>
      <xdr:col>8</xdr:col>
      <xdr:colOff>711200</xdr:colOff>
      <xdr:row>28</xdr:row>
      <xdr:rowOff>88900</xdr:rowOff>
    </xdr:to>
    <mc:AlternateContent xmlns:mc="http://schemas.openxmlformats.org/markup-compatibility/2006" xmlns:tsle="http://schemas.microsoft.com/office/drawing/2012/timeslicer">
      <mc:Choice Requires="tsle">
        <xdr:graphicFrame macro="">
          <xdr:nvGraphicFramePr>
            <xdr:cNvPr id="3" name="Check_In_Date">
              <a:extLst>
                <a:ext uri="{FF2B5EF4-FFF2-40B4-BE49-F238E27FC236}">
                  <a16:creationId xmlns:a16="http://schemas.microsoft.com/office/drawing/2014/main" id="{5B671C9D-2FFA-4221-110B-4B39CA6CCE90}"/>
                </a:ext>
              </a:extLst>
            </xdr:cNvPr>
            <xdr:cNvGraphicFramePr/>
          </xdr:nvGraphicFramePr>
          <xdr:xfrm>
            <a:off x="0" y="0"/>
            <a:ext cx="0" cy="0"/>
          </xdr:xfrm>
          <a:graphic>
            <a:graphicData uri="http://schemas.microsoft.com/office/drawing/2012/timeslicer">
              <tsle:timeslicer name="Check_In_Date"/>
            </a:graphicData>
          </a:graphic>
        </xdr:graphicFrame>
      </mc:Choice>
      <mc:Fallback xmlns="">
        <xdr:sp macro="" textlink="">
          <xdr:nvSpPr>
            <xdr:cNvPr id="0" name=""/>
            <xdr:cNvSpPr>
              <a:spLocks noTextEdit="1"/>
            </xdr:cNvSpPr>
          </xdr:nvSpPr>
          <xdr:spPr>
            <a:xfrm>
              <a:off x="5753100" y="3746500"/>
              <a:ext cx="33401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5</xdr:row>
      <xdr:rowOff>0</xdr:rowOff>
    </xdr:from>
    <xdr:to>
      <xdr:col>8</xdr:col>
      <xdr:colOff>457970</xdr:colOff>
      <xdr:row>20</xdr:row>
      <xdr:rowOff>76200</xdr:rowOff>
    </xdr:to>
    <xdr:graphicFrame macro="">
      <xdr:nvGraphicFramePr>
        <xdr:cNvPr id="2" name="Chart 1">
          <a:extLst>
            <a:ext uri="{FF2B5EF4-FFF2-40B4-BE49-F238E27FC236}">
              <a16:creationId xmlns:a16="http://schemas.microsoft.com/office/drawing/2014/main" id="{8179B7C9-2B6A-DA4F-A363-C53B3D4BF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5</xdr:row>
      <xdr:rowOff>25400</xdr:rowOff>
    </xdr:from>
    <xdr:to>
      <xdr:col>15</xdr:col>
      <xdr:colOff>50800</xdr:colOff>
      <xdr:row>20</xdr:row>
      <xdr:rowOff>101600</xdr:rowOff>
    </xdr:to>
    <xdr:graphicFrame macro="">
      <xdr:nvGraphicFramePr>
        <xdr:cNvPr id="3" name="Chart 2">
          <a:extLst>
            <a:ext uri="{FF2B5EF4-FFF2-40B4-BE49-F238E27FC236}">
              <a16:creationId xmlns:a16="http://schemas.microsoft.com/office/drawing/2014/main" id="{DCB7954C-8A13-9843-A3ED-62C1364CE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279400</xdr:colOff>
      <xdr:row>23</xdr:row>
      <xdr:rowOff>25400</xdr:rowOff>
    </xdr:from>
    <xdr:to>
      <xdr:col>7</xdr:col>
      <xdr:colOff>723900</xdr:colOff>
      <xdr:row>38</xdr:row>
      <xdr:rowOff>101600</xdr:rowOff>
    </xdr:to>
    <xdr:graphicFrame macro="">
      <xdr:nvGraphicFramePr>
        <xdr:cNvPr id="4" name="Chart 3">
          <a:extLst>
            <a:ext uri="{FF2B5EF4-FFF2-40B4-BE49-F238E27FC236}">
              <a16:creationId xmlns:a16="http://schemas.microsoft.com/office/drawing/2014/main" id="{B6D1FCB0-5AAD-C047-AED0-C2F0AD84B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650118</xdr:colOff>
      <xdr:row>23</xdr:row>
      <xdr:rowOff>105834</xdr:rowOff>
    </xdr:from>
    <xdr:to>
      <xdr:col>15</xdr:col>
      <xdr:colOff>232833</xdr:colOff>
      <xdr:row>38</xdr:row>
      <xdr:rowOff>127605</xdr:rowOff>
    </xdr:to>
    <xdr:graphicFrame macro="">
      <xdr:nvGraphicFramePr>
        <xdr:cNvPr id="5" name="Chart 4">
          <a:extLst>
            <a:ext uri="{FF2B5EF4-FFF2-40B4-BE49-F238E27FC236}">
              <a16:creationId xmlns:a16="http://schemas.microsoft.com/office/drawing/2014/main" id="{EFCEEA4B-5C0B-4A4F-B669-731971882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338667</xdr:colOff>
      <xdr:row>42</xdr:row>
      <xdr:rowOff>67734</xdr:rowOff>
    </xdr:from>
    <xdr:to>
      <xdr:col>7</xdr:col>
      <xdr:colOff>747112</xdr:colOff>
      <xdr:row>57</xdr:row>
      <xdr:rowOff>121015</xdr:rowOff>
    </xdr:to>
    <xdr:graphicFrame macro="">
      <xdr:nvGraphicFramePr>
        <xdr:cNvPr id="6" name="Chart 5">
          <a:extLst>
            <a:ext uri="{FF2B5EF4-FFF2-40B4-BE49-F238E27FC236}">
              <a16:creationId xmlns:a16="http://schemas.microsoft.com/office/drawing/2014/main" id="{1B3A50F9-8A38-854B-8DE3-D581F6257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dhu Saahithi Naralashetty Yogendranath" refreshedDate="46247.989715393516" createdVersion="8" refreshedVersion="8" minRefreshableVersion="3" recordCount="120" xr:uid="{42CF2DBB-68BB-034B-9FCC-EEBE93F7CB99}">
  <cacheSource type="worksheet">
    <worksheetSource name="Cleaned_Motel_Data"/>
  </cacheSource>
  <cacheFields count="18">
    <cacheField name="Booking_ID" numFmtId="0">
      <sharedItems/>
    </cacheField>
    <cacheField name="Check_In_Date" numFmtId="14">
      <sharedItems containsSemiMixedTypes="0" containsNonDate="0" containsDate="1" containsString="0" minDate="2025-01-06T00:00:00" maxDate="2025-12-23T00:00:00" count="106">
        <d v="2025-10-04T00:00:00"/>
        <d v="2025-10-16T00:00:00"/>
        <d v="2025-08-31T00:00:00"/>
        <d v="2025-09-11T00:00:00"/>
        <d v="2025-02-15T00:00:00"/>
        <d v="2025-09-10T00:00:00"/>
        <d v="2025-03-12T00:00:00"/>
        <d v="2025-12-10T00:00:00"/>
        <d v="2025-10-08T00:00:00"/>
        <d v="2025-06-02T00:00:00"/>
        <d v="2025-11-26T00:00:00"/>
        <d v="2025-02-02T00:00:00"/>
        <d v="2025-06-04T00:00:00"/>
        <d v="2025-10-23T00:00:00"/>
        <d v="2025-11-01T00:00:00"/>
        <d v="2025-12-05T00:00:00"/>
        <d v="2025-12-17T00:00:00"/>
        <d v="2025-05-21T00:00:00"/>
        <d v="2025-03-01T00:00:00"/>
        <d v="2025-05-29T00:00:00"/>
        <d v="2025-01-06T00:00:00"/>
        <d v="2025-05-20T00:00:00"/>
        <d v="2025-10-29T00:00:00"/>
        <d v="2025-12-16T00:00:00"/>
        <d v="2025-09-08T00:00:00"/>
        <d v="2025-08-09T00:00:00"/>
        <d v="2025-11-07T00:00:00"/>
        <d v="2025-12-09T00:00:00"/>
        <d v="2025-07-08T00:00:00"/>
        <d v="2025-09-06T00:00:00"/>
        <d v="2025-11-28T00:00:00"/>
        <d v="2025-09-03T00:00:00"/>
        <d v="2025-01-10T00:00:00"/>
        <d v="2025-01-16T00:00:00"/>
        <d v="2025-12-22T00:00:00"/>
        <d v="2025-07-04T00:00:00"/>
        <d v="2025-04-17T00:00:00"/>
        <d v="2025-08-21T00:00:00"/>
        <d v="2025-10-24T00:00:00"/>
        <d v="2025-08-04T00:00:00"/>
        <d v="2025-05-11T00:00:00"/>
        <d v="2025-03-28T00:00:00"/>
        <d v="2025-04-20T00:00:00"/>
        <d v="2025-10-21T00:00:00"/>
        <d v="2025-08-08T00:00:00"/>
        <d v="2025-12-15T00:00:00"/>
        <d v="2025-12-11T00:00:00"/>
        <d v="2025-07-19T00:00:00"/>
        <d v="2025-07-28T00:00:00"/>
        <d v="2025-01-14T00:00:00"/>
        <d v="2025-04-12T00:00:00"/>
        <d v="2025-01-21T00:00:00"/>
        <d v="2025-08-01T00:00:00"/>
        <d v="2025-08-22T00:00:00"/>
        <d v="2025-10-09T00:00:00"/>
        <d v="2025-02-01T00:00:00"/>
        <d v="2025-03-17T00:00:00"/>
        <d v="2025-02-05T00:00:00"/>
        <d v="2025-11-19T00:00:00"/>
        <d v="2025-04-22T00:00:00"/>
        <d v="2025-11-03T00:00:00"/>
        <d v="2025-03-25T00:00:00"/>
        <d v="2025-08-30T00:00:00"/>
        <d v="2025-11-02T00:00:00"/>
        <d v="2025-05-13T00:00:00"/>
        <d v="2025-12-14T00:00:00"/>
        <d v="2025-05-10T00:00:00"/>
        <d v="2025-06-16T00:00:00"/>
        <d v="2025-11-14T00:00:00"/>
        <d v="2025-02-28T00:00:00"/>
        <d v="2025-01-29T00:00:00"/>
        <d v="2025-02-10T00:00:00"/>
        <d v="2025-01-13T00:00:00"/>
        <d v="2025-01-25T00:00:00"/>
        <d v="2025-02-27T00:00:00"/>
        <d v="2025-08-10T00:00:00"/>
        <d v="2025-12-20T00:00:00"/>
        <d v="2025-09-23T00:00:00"/>
        <d v="2025-11-08T00:00:00"/>
        <d v="2025-03-06T00:00:00"/>
        <d v="2025-08-15T00:00:00"/>
        <d v="2025-11-05T00:00:00"/>
        <d v="2025-07-31T00:00:00"/>
        <d v="2025-11-29T00:00:00"/>
        <d v="2025-04-28T00:00:00"/>
        <d v="2025-05-05T00:00:00"/>
        <d v="2025-09-02T00:00:00"/>
        <d v="2025-08-26T00:00:00"/>
        <d v="2025-10-14T00:00:00"/>
        <d v="2025-05-16T00:00:00"/>
        <d v="2025-12-03T00:00:00"/>
        <d v="2025-05-08T00:00:00"/>
        <d v="2025-07-06T00:00:00"/>
        <d v="2025-07-14T00:00:00"/>
        <d v="2025-05-07T00:00:00"/>
        <d v="2025-12-07T00:00:00"/>
        <d v="2025-11-22T00:00:00"/>
        <d v="2025-05-15T00:00:00"/>
        <d v="2025-05-17T00:00:00"/>
        <d v="2025-01-27T00:00:00"/>
        <d v="2025-08-20T00:00:00"/>
        <d v="2025-11-27T00:00:00"/>
        <d v="2025-02-21T00:00:00"/>
        <d v="2025-03-13T00:00:00"/>
        <d v="2025-06-15T00:00:00"/>
        <d v="2025-11-13T00:00:00"/>
      </sharedItems>
      <fieldGroup par="17"/>
    </cacheField>
    <cacheField name="Room_Number" numFmtId="0">
      <sharedItems containsSemiMixedTypes="0" containsString="0" containsNumber="1" containsInteger="1" minValue="101" maxValue="220"/>
    </cacheField>
    <cacheField name="Room_Type" numFmtId="0">
      <sharedItems count="5">
        <s v="Deluxe"/>
        <s v="King"/>
        <s v="Double"/>
        <s v="Unknown"/>
        <s v="Standard"/>
      </sharedItems>
    </cacheField>
    <cacheField name="Booking_Source" numFmtId="0">
      <sharedItems count="5">
        <s v="Booking.com"/>
        <s v="Direct"/>
        <s v="Expedia"/>
        <s v="Walk-in"/>
        <s v="Unknown"/>
      </sharedItems>
    </cacheField>
    <cacheField name="Guest_Country" numFmtId="0">
      <sharedItems count="8">
        <s v="Australia"/>
        <s v="France"/>
        <s v="Canada"/>
        <s v="United States"/>
        <s v="United Kingdom"/>
        <s v="Germany"/>
        <s v="India"/>
        <s v="Unknown"/>
      </sharedItems>
    </cacheField>
    <cacheField name="Adults" numFmtId="0">
      <sharedItems containsSemiMixedTypes="0" containsString="0" containsNumber="1" containsInteger="1" minValue="1" maxValue="4"/>
    </cacheField>
    <cacheField name="Nightly_Rate_GBP" numFmtId="0">
      <sharedItems containsSemiMixedTypes="0" containsString="0" containsNumber="1" minValue="71.72" maxValue="144.44999999999999"/>
    </cacheField>
    <cacheField name="Resort_Fee_GBP" numFmtId="0">
      <sharedItems containsSemiMixedTypes="0" containsString="0" containsNumber="1" minValue="8.5" maxValue="8.5"/>
    </cacheField>
    <cacheField name="Booking_Status" numFmtId="0">
      <sharedItems count="3">
        <s v="Completed"/>
        <s v="Cancelled"/>
        <s v="No-Show"/>
      </sharedItems>
    </cacheField>
    <cacheField name="Payment_Status" numFmtId="0">
      <sharedItems count="3">
        <s v="Paid"/>
        <s v="Pending"/>
        <s v="Refunded"/>
      </sharedItems>
    </cacheField>
    <cacheField name="Guest_Rating" numFmtId="0">
      <sharedItems containsString="0" containsBlank="1" containsNumber="1" containsInteger="1" minValue="3" maxValue="5"/>
    </cacheField>
    <cacheField name="Booking_Date" numFmtId="14">
      <sharedItems containsSemiMixedTypes="0" containsNonDate="0" containsDate="1" containsString="0" minDate="2024-12-01T00:00:00" maxDate="2025-12-01T00:00:00"/>
    </cacheField>
    <cacheField name="Check_Out_Date" numFmtId="14">
      <sharedItems containsSemiMixedTypes="0" containsNonDate="0" containsDate="1" containsString="0" minDate="2025-01-11T00:00:00" maxDate="2025-12-26T00:00:00"/>
    </cacheField>
    <cacheField name="Nights" numFmtId="0">
      <sharedItems containsSemiMixedTypes="0" containsString="0" containsNumber="1" containsInteger="1" minValue="1" maxValue="5"/>
    </cacheField>
    <cacheField name="Estimated_Revenue_GBP" numFmtId="0">
      <sharedItems containsSemiMixedTypes="0" containsString="0" containsNumber="1" minValue="0" maxValue="628.6"/>
    </cacheField>
    <cacheField name="Days (Check_In_Date)" numFmtId="0" databaseField="0">
      <fieldGroup base="1">
        <rangePr groupBy="days" startDate="2025-01-06T00:00:00" endDate="2025-12-23T00:00:00"/>
        <groupItems count="368">
          <s v="&lt;06/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12/25"/>
        </groupItems>
      </fieldGroup>
    </cacheField>
    <cacheField name="Months (Check_In_Date)" numFmtId="0" databaseField="0">
      <fieldGroup base="1">
        <rangePr groupBy="months" startDate="2025-01-06T00:00:00" endDate="2025-12-23T00:00:00"/>
        <groupItems count="14">
          <s v="&lt;06/01/25"/>
          <s v="Jan"/>
          <s v="Feb"/>
          <s v="Mar"/>
          <s v="Apr"/>
          <s v="May"/>
          <s v="Jun"/>
          <s v="Jul"/>
          <s v="Aug"/>
          <s v="Sep"/>
          <s v="Oct"/>
          <s v="Nov"/>
          <s v="Dec"/>
          <s v="&gt;23/12/25"/>
        </groupItems>
      </fieldGroup>
    </cacheField>
  </cacheFields>
  <extLst>
    <ext xmlns:x14="http://schemas.microsoft.com/office/spreadsheetml/2009/9/main" uri="{725AE2AE-9491-48be-B2B4-4EB974FC3084}">
      <x14:pivotCacheDefinition pivotCacheId="1983970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BK1098"/>
    <x v="0"/>
    <n v="118"/>
    <x v="0"/>
    <x v="0"/>
    <x v="0"/>
    <n v="2"/>
    <n v="124.02"/>
    <n v="8.5"/>
    <x v="0"/>
    <x v="0"/>
    <n v="3"/>
    <d v="2025-08-06T00:00:00"/>
    <d v="2025-10-09T00:00:00"/>
    <n v="5"/>
    <n v="628.6"/>
  </r>
  <r>
    <s v="BK1065"/>
    <x v="1"/>
    <n v="208"/>
    <x v="1"/>
    <x v="0"/>
    <x v="1"/>
    <n v="2"/>
    <n v="119.48"/>
    <n v="8.5"/>
    <x v="0"/>
    <x v="0"/>
    <n v="4"/>
    <d v="2025-09-23T00:00:00"/>
    <d v="2025-10-21T00:00:00"/>
    <n v="5"/>
    <n v="605.9"/>
  </r>
  <r>
    <s v="BK1062"/>
    <x v="2"/>
    <n v="205"/>
    <x v="1"/>
    <x v="1"/>
    <x v="2"/>
    <n v="2"/>
    <n v="116.36"/>
    <n v="8.5"/>
    <x v="0"/>
    <x v="1"/>
    <n v="4"/>
    <d v="2025-07-22T00:00:00"/>
    <d v="2025-09-05T00:00:00"/>
    <n v="5"/>
    <n v="590.29999999999995"/>
  </r>
  <r>
    <s v="BK1120"/>
    <x v="3"/>
    <n v="207"/>
    <x v="1"/>
    <x v="2"/>
    <x v="0"/>
    <n v="3"/>
    <n v="113.98"/>
    <n v="8.5"/>
    <x v="0"/>
    <x v="0"/>
    <n v="5"/>
    <d v="2025-08-13T00:00:00"/>
    <d v="2025-09-16T00:00:00"/>
    <n v="5"/>
    <n v="578.4"/>
  </r>
  <r>
    <s v="BK1005"/>
    <x v="4"/>
    <n v="220"/>
    <x v="1"/>
    <x v="2"/>
    <x v="1"/>
    <n v="1"/>
    <n v="111.6"/>
    <n v="8.5"/>
    <x v="0"/>
    <x v="0"/>
    <n v="3"/>
    <d v="2025-01-27T00:00:00"/>
    <d v="2025-02-20T00:00:00"/>
    <n v="5"/>
    <n v="566.5"/>
  </r>
  <r>
    <s v="BK1061"/>
    <x v="5"/>
    <n v="218"/>
    <x v="1"/>
    <x v="0"/>
    <x v="0"/>
    <n v="2"/>
    <n v="139.08000000000001"/>
    <n v="8.5"/>
    <x v="0"/>
    <x v="0"/>
    <n v="4"/>
    <d v="2025-08-13T00:00:00"/>
    <d v="2025-09-14T00:00:00"/>
    <n v="4"/>
    <n v="564.82000000000005"/>
  </r>
  <r>
    <s v="BK1016"/>
    <x v="6"/>
    <n v="111"/>
    <x v="1"/>
    <x v="3"/>
    <x v="3"/>
    <n v="3"/>
    <n v="136.43"/>
    <n v="8.5"/>
    <x v="0"/>
    <x v="0"/>
    <n v="4"/>
    <d v="2025-02-04T00:00:00"/>
    <d v="2025-03-16T00:00:00"/>
    <n v="4"/>
    <n v="554.22"/>
  </r>
  <r>
    <s v="BK1024"/>
    <x v="7"/>
    <n v="113"/>
    <x v="1"/>
    <x v="2"/>
    <x v="4"/>
    <n v="3"/>
    <n v="135.75"/>
    <n v="8.5"/>
    <x v="0"/>
    <x v="0"/>
    <n v="3"/>
    <d v="2025-11-30T00:00:00"/>
    <d v="2025-12-14T00:00:00"/>
    <n v="4"/>
    <n v="551.5"/>
  </r>
  <r>
    <s v="BK1052"/>
    <x v="8"/>
    <n v="219"/>
    <x v="0"/>
    <x v="3"/>
    <x v="3"/>
    <n v="2"/>
    <n v="108.08"/>
    <n v="8.5"/>
    <x v="0"/>
    <x v="0"/>
    <m/>
    <d v="2025-08-17T00:00:00"/>
    <d v="2025-10-13T00:00:00"/>
    <n v="5"/>
    <n v="548.9"/>
  </r>
  <r>
    <s v="BK1093"/>
    <x v="9"/>
    <n v="105"/>
    <x v="2"/>
    <x v="0"/>
    <x v="5"/>
    <n v="2"/>
    <n v="104.17"/>
    <n v="8.5"/>
    <x v="0"/>
    <x v="0"/>
    <n v="4"/>
    <d v="2025-05-22T00:00:00"/>
    <d v="2025-06-07T00:00:00"/>
    <n v="5"/>
    <n v="529.35"/>
  </r>
  <r>
    <s v="BK1111"/>
    <x v="10"/>
    <n v="201"/>
    <x v="2"/>
    <x v="0"/>
    <x v="2"/>
    <n v="4"/>
    <n v="103.16"/>
    <n v="8.5"/>
    <x v="0"/>
    <x v="0"/>
    <n v="5"/>
    <d v="2025-10-21T00:00:00"/>
    <d v="2025-12-01T00:00:00"/>
    <n v="5"/>
    <n v="524.29999999999995"/>
  </r>
  <r>
    <s v="BK1068"/>
    <x v="11"/>
    <n v="109"/>
    <x v="3"/>
    <x v="1"/>
    <x v="0"/>
    <n v="1"/>
    <n v="102.22"/>
    <n v="8.5"/>
    <x v="0"/>
    <x v="0"/>
    <n v="4"/>
    <d v="2025-01-14T00:00:00"/>
    <d v="2025-02-07T00:00:00"/>
    <n v="5"/>
    <n v="519.6"/>
  </r>
  <r>
    <s v="BK1083"/>
    <x v="12"/>
    <n v="118"/>
    <x v="2"/>
    <x v="3"/>
    <x v="2"/>
    <n v="2"/>
    <n v="98.7"/>
    <n v="8.5"/>
    <x v="0"/>
    <x v="0"/>
    <n v="5"/>
    <d v="2025-04-19T00:00:00"/>
    <d v="2025-06-09T00:00:00"/>
    <n v="5"/>
    <n v="502"/>
  </r>
  <r>
    <s v="BK1119"/>
    <x v="13"/>
    <n v="104"/>
    <x v="0"/>
    <x v="2"/>
    <x v="0"/>
    <n v="3"/>
    <n v="96.49"/>
    <n v="8.5"/>
    <x v="0"/>
    <x v="0"/>
    <n v="4"/>
    <d v="2025-10-17T00:00:00"/>
    <d v="2025-10-28T00:00:00"/>
    <n v="5"/>
    <n v="490.95"/>
  </r>
  <r>
    <s v="BK1025"/>
    <x v="14"/>
    <n v="214"/>
    <x v="0"/>
    <x v="1"/>
    <x v="5"/>
    <n v="1"/>
    <n v="120.54"/>
    <n v="8.5"/>
    <x v="0"/>
    <x v="0"/>
    <n v="4"/>
    <d v="2025-09-29T00:00:00"/>
    <d v="2025-11-05T00:00:00"/>
    <n v="4"/>
    <n v="490.66"/>
  </r>
  <r>
    <s v="BK1112"/>
    <x v="15"/>
    <n v="114"/>
    <x v="2"/>
    <x v="3"/>
    <x v="3"/>
    <n v="2"/>
    <n v="95.17"/>
    <n v="8.5"/>
    <x v="0"/>
    <x v="0"/>
    <n v="3"/>
    <d v="2025-10-19T00:00:00"/>
    <d v="2025-12-10T00:00:00"/>
    <n v="5"/>
    <n v="484.35"/>
  </r>
  <r>
    <s v="BK1089"/>
    <x v="16"/>
    <n v="201"/>
    <x v="2"/>
    <x v="1"/>
    <x v="5"/>
    <n v="1"/>
    <n v="92.04"/>
    <n v="8.5"/>
    <x v="0"/>
    <x v="0"/>
    <n v="4"/>
    <d v="2025-11-22T00:00:00"/>
    <d v="2025-12-22T00:00:00"/>
    <n v="5"/>
    <n v="468.70000000000005"/>
  </r>
  <r>
    <s v="BK1031"/>
    <x v="17"/>
    <n v="117"/>
    <x v="4"/>
    <x v="1"/>
    <x v="1"/>
    <n v="2"/>
    <n v="90.73"/>
    <n v="8.5"/>
    <x v="0"/>
    <x v="0"/>
    <n v="4"/>
    <d v="2025-04-19T00:00:00"/>
    <d v="2025-05-26T00:00:00"/>
    <n v="5"/>
    <n v="462.15000000000003"/>
  </r>
  <r>
    <s v="BK1060"/>
    <x v="18"/>
    <n v="210"/>
    <x v="0"/>
    <x v="3"/>
    <x v="3"/>
    <n v="4"/>
    <n v="110.65"/>
    <n v="8.5"/>
    <x v="0"/>
    <x v="0"/>
    <n v="5"/>
    <d v="2025-02-05T00:00:00"/>
    <d v="2025-03-05T00:00:00"/>
    <n v="4"/>
    <n v="451.1"/>
  </r>
  <r>
    <s v="BK1063"/>
    <x v="19"/>
    <n v="118"/>
    <x v="4"/>
    <x v="2"/>
    <x v="4"/>
    <n v="2"/>
    <n v="88"/>
    <n v="8.5"/>
    <x v="0"/>
    <x v="0"/>
    <n v="5"/>
    <d v="2025-04-14T00:00:00"/>
    <d v="2025-06-03T00:00:00"/>
    <n v="5"/>
    <n v="448.5"/>
  </r>
  <r>
    <s v="BK1080"/>
    <x v="20"/>
    <n v="207"/>
    <x v="4"/>
    <x v="2"/>
    <x v="5"/>
    <n v="2"/>
    <n v="85.57"/>
    <n v="8.5"/>
    <x v="0"/>
    <x v="0"/>
    <n v="3"/>
    <d v="2024-12-07T00:00:00"/>
    <d v="2025-01-11T00:00:00"/>
    <n v="5"/>
    <n v="436.34999999999997"/>
  </r>
  <r>
    <s v="BK1013"/>
    <x v="21"/>
    <n v="112"/>
    <x v="4"/>
    <x v="4"/>
    <x v="0"/>
    <n v="4"/>
    <n v="82.69"/>
    <n v="8.5"/>
    <x v="0"/>
    <x v="0"/>
    <n v="4"/>
    <d v="2025-04-01T00:00:00"/>
    <d v="2025-05-25T00:00:00"/>
    <n v="5"/>
    <n v="421.95"/>
  </r>
  <r>
    <s v="BK1085"/>
    <x v="22"/>
    <n v="110"/>
    <x v="2"/>
    <x v="3"/>
    <x v="6"/>
    <n v="2"/>
    <n v="101.56"/>
    <n v="8.5"/>
    <x v="0"/>
    <x v="0"/>
    <n v="4"/>
    <d v="2025-09-03T00:00:00"/>
    <d v="2025-11-02T00:00:00"/>
    <n v="4"/>
    <n v="414.74"/>
  </r>
  <r>
    <s v="BK1010"/>
    <x v="14"/>
    <n v="218"/>
    <x v="2"/>
    <x v="2"/>
    <x v="3"/>
    <n v="2"/>
    <n v="100.29"/>
    <n v="8.5"/>
    <x v="0"/>
    <x v="0"/>
    <n v="3"/>
    <d v="2025-09-04T00:00:00"/>
    <d v="2025-11-05T00:00:00"/>
    <n v="4"/>
    <n v="409.66"/>
  </r>
  <r>
    <s v="BK1100"/>
    <x v="23"/>
    <n v="205"/>
    <x v="1"/>
    <x v="1"/>
    <x v="1"/>
    <n v="2"/>
    <n v="126.5"/>
    <n v="8.5"/>
    <x v="0"/>
    <x v="1"/>
    <n v="4"/>
    <d v="2025-11-08T00:00:00"/>
    <d v="2025-12-19T00:00:00"/>
    <n v="3"/>
    <n v="388"/>
  </r>
  <r>
    <s v="BK1110"/>
    <x v="24"/>
    <n v="107"/>
    <x v="2"/>
    <x v="3"/>
    <x v="4"/>
    <n v="1"/>
    <n v="94.66"/>
    <n v="8.5"/>
    <x v="0"/>
    <x v="0"/>
    <n v="5"/>
    <d v="2025-08-11T00:00:00"/>
    <d v="2025-09-12T00:00:00"/>
    <n v="4"/>
    <n v="387.14"/>
  </r>
  <r>
    <s v="BK1051"/>
    <x v="25"/>
    <n v="218"/>
    <x v="4"/>
    <x v="3"/>
    <x v="2"/>
    <n v="1"/>
    <n v="93.57"/>
    <n v="8.5"/>
    <x v="0"/>
    <x v="0"/>
    <n v="4"/>
    <d v="2025-06-12T00:00:00"/>
    <d v="2025-08-13T00:00:00"/>
    <n v="4"/>
    <n v="382.78"/>
  </r>
  <r>
    <s v="BK1067"/>
    <x v="26"/>
    <n v="113"/>
    <x v="1"/>
    <x v="2"/>
    <x v="6"/>
    <n v="2"/>
    <n v="120.58"/>
    <n v="8.5"/>
    <x v="0"/>
    <x v="0"/>
    <n v="3"/>
    <d v="2025-10-31T00:00:00"/>
    <d v="2025-11-10T00:00:00"/>
    <n v="3"/>
    <n v="370.24"/>
  </r>
  <r>
    <s v="BK1095"/>
    <x v="27"/>
    <n v="101"/>
    <x v="4"/>
    <x v="3"/>
    <x v="0"/>
    <n v="2"/>
    <n v="89.39"/>
    <n v="8.5"/>
    <x v="0"/>
    <x v="0"/>
    <n v="4"/>
    <d v="2025-11-21T00:00:00"/>
    <d v="2025-12-13T00:00:00"/>
    <n v="4"/>
    <n v="366.06"/>
  </r>
  <r>
    <s v="BK1091"/>
    <x v="28"/>
    <n v="110"/>
    <x v="0"/>
    <x v="3"/>
    <x v="5"/>
    <n v="4"/>
    <n v="118.78"/>
    <n v="8.5"/>
    <x v="0"/>
    <x v="0"/>
    <n v="4"/>
    <d v="2025-06-10T00:00:00"/>
    <d v="2025-07-11T00:00:00"/>
    <n v="3"/>
    <n v="364.84000000000003"/>
  </r>
  <r>
    <s v="BK1064"/>
    <x v="29"/>
    <n v="102"/>
    <x v="4"/>
    <x v="0"/>
    <x v="3"/>
    <n v="2"/>
    <n v="87.29"/>
    <n v="8.5"/>
    <x v="0"/>
    <x v="0"/>
    <n v="4"/>
    <d v="2025-08-08T00:00:00"/>
    <d v="2025-09-10T00:00:00"/>
    <n v="4"/>
    <n v="357.66"/>
  </r>
  <r>
    <s v="BK1032"/>
    <x v="30"/>
    <n v="209"/>
    <x v="2"/>
    <x v="0"/>
    <x v="4"/>
    <n v="1"/>
    <n v="113.35"/>
    <n v="8.5"/>
    <x v="0"/>
    <x v="0"/>
    <n v="3"/>
    <d v="2025-11-17T00:00:00"/>
    <d v="2025-12-01T00:00:00"/>
    <n v="3"/>
    <n v="348.54999999999995"/>
  </r>
  <r>
    <s v="BK1073"/>
    <x v="31"/>
    <n v="115"/>
    <x v="1"/>
    <x v="1"/>
    <x v="1"/>
    <n v="2"/>
    <n v="112.49"/>
    <n v="8.5"/>
    <x v="0"/>
    <x v="0"/>
    <n v="5"/>
    <d v="2025-08-31T00:00:00"/>
    <d v="2025-09-06T00:00:00"/>
    <n v="3"/>
    <n v="345.96999999999997"/>
  </r>
  <r>
    <s v="BK1028"/>
    <x v="32"/>
    <n v="217"/>
    <x v="4"/>
    <x v="1"/>
    <x v="5"/>
    <n v="2"/>
    <n v="82.65"/>
    <n v="8.5"/>
    <x v="0"/>
    <x v="0"/>
    <n v="3"/>
    <d v="2024-12-01T00:00:00"/>
    <d v="2025-01-14T00:00:00"/>
    <n v="4"/>
    <n v="339.1"/>
  </r>
  <r>
    <s v="BK1077"/>
    <x v="33"/>
    <n v="103"/>
    <x v="0"/>
    <x v="3"/>
    <x v="5"/>
    <n v="4"/>
    <n v="108.27"/>
    <n v="8.5"/>
    <x v="0"/>
    <x v="1"/>
    <n v="4"/>
    <d v="2024-12-10T00:00:00"/>
    <d v="2025-01-19T00:00:00"/>
    <n v="3"/>
    <n v="333.31"/>
  </r>
  <r>
    <s v="BK1008"/>
    <x v="34"/>
    <n v="104"/>
    <x v="3"/>
    <x v="1"/>
    <x v="0"/>
    <n v="2"/>
    <n v="107.03"/>
    <n v="8.5"/>
    <x v="0"/>
    <x v="0"/>
    <n v="5"/>
    <d v="2025-10-29T00:00:00"/>
    <d v="2025-12-25T00:00:00"/>
    <n v="3"/>
    <n v="329.59000000000003"/>
  </r>
  <r>
    <s v="BK1037"/>
    <x v="35"/>
    <n v="115"/>
    <x v="0"/>
    <x v="1"/>
    <x v="1"/>
    <n v="2"/>
    <n v="106.95"/>
    <n v="8.5"/>
    <x v="0"/>
    <x v="0"/>
    <n v="4"/>
    <d v="2025-05-12T00:00:00"/>
    <d v="2025-07-07T00:00:00"/>
    <n v="3"/>
    <n v="329.35"/>
  </r>
  <r>
    <s v="BK1094"/>
    <x v="36"/>
    <n v="211"/>
    <x v="4"/>
    <x v="2"/>
    <x v="2"/>
    <n v="3"/>
    <n v="78.97"/>
    <n v="8.5"/>
    <x v="0"/>
    <x v="0"/>
    <m/>
    <d v="2025-02-21T00:00:00"/>
    <d v="2025-04-21T00:00:00"/>
    <n v="4"/>
    <n v="324.38"/>
  </r>
  <r>
    <s v="BK1104"/>
    <x v="37"/>
    <n v="204"/>
    <x v="4"/>
    <x v="0"/>
    <x v="5"/>
    <n v="4"/>
    <n v="78.97"/>
    <n v="8.5"/>
    <x v="0"/>
    <x v="0"/>
    <n v="3"/>
    <d v="2025-08-05T00:00:00"/>
    <d v="2025-08-25T00:00:00"/>
    <n v="4"/>
    <n v="324.38"/>
  </r>
  <r>
    <s v="BK1075"/>
    <x v="38"/>
    <n v="108"/>
    <x v="2"/>
    <x v="0"/>
    <x v="1"/>
    <n v="2"/>
    <n v="103.81"/>
    <n v="8.5"/>
    <x v="0"/>
    <x v="0"/>
    <n v="3"/>
    <d v="2025-09-25T00:00:00"/>
    <d v="2025-10-27T00:00:00"/>
    <n v="3"/>
    <n v="319.93"/>
  </r>
  <r>
    <s v="BK1097"/>
    <x v="22"/>
    <n v="109"/>
    <x v="4"/>
    <x v="0"/>
    <x v="6"/>
    <n v="4"/>
    <n v="103.81"/>
    <n v="8.5"/>
    <x v="0"/>
    <x v="0"/>
    <n v="4"/>
    <d v="2025-09-12T00:00:00"/>
    <d v="2025-11-01T00:00:00"/>
    <n v="3"/>
    <n v="319.93"/>
  </r>
  <r>
    <s v="BK1079"/>
    <x v="39"/>
    <n v="206"/>
    <x v="4"/>
    <x v="3"/>
    <x v="4"/>
    <n v="2"/>
    <n v="76.31"/>
    <n v="8.5"/>
    <x v="0"/>
    <x v="0"/>
    <n v="5"/>
    <d v="2025-07-16T00:00:00"/>
    <d v="2025-08-08T00:00:00"/>
    <n v="4"/>
    <n v="313.74"/>
  </r>
  <r>
    <s v="BK1029"/>
    <x v="40"/>
    <n v="111"/>
    <x v="3"/>
    <x v="0"/>
    <x v="5"/>
    <n v="4"/>
    <n v="100.87"/>
    <n v="8.5"/>
    <x v="0"/>
    <x v="0"/>
    <n v="5"/>
    <d v="2025-04-22T00:00:00"/>
    <d v="2025-05-14T00:00:00"/>
    <n v="3"/>
    <n v="311.11"/>
  </r>
  <r>
    <s v="BK1082"/>
    <x v="41"/>
    <n v="101"/>
    <x v="2"/>
    <x v="4"/>
    <x v="3"/>
    <n v="1"/>
    <n v="98.84"/>
    <n v="8.5"/>
    <x v="0"/>
    <x v="0"/>
    <n v="4"/>
    <d v="2025-02-20T00:00:00"/>
    <d v="2025-03-31T00:00:00"/>
    <n v="3"/>
    <n v="305.02"/>
  </r>
  <r>
    <s v="BK1027"/>
    <x v="42"/>
    <n v="117"/>
    <x v="2"/>
    <x v="2"/>
    <x v="1"/>
    <n v="4"/>
    <n v="94"/>
    <n v="8.5"/>
    <x v="0"/>
    <x v="0"/>
    <n v="3"/>
    <d v="2025-04-04T00:00:00"/>
    <d v="2025-04-23T00:00:00"/>
    <n v="3"/>
    <n v="290.5"/>
  </r>
  <r>
    <s v="BK1070"/>
    <x v="43"/>
    <n v="116"/>
    <x v="4"/>
    <x v="3"/>
    <x v="5"/>
    <n v="3"/>
    <n v="89.77"/>
    <n v="8.5"/>
    <x v="0"/>
    <x v="0"/>
    <n v="4"/>
    <d v="2025-10-15T00:00:00"/>
    <d v="2025-10-24T00:00:00"/>
    <n v="3"/>
    <n v="277.81"/>
  </r>
  <r>
    <s v="BK1003"/>
    <x v="44"/>
    <n v="218"/>
    <x v="1"/>
    <x v="1"/>
    <x v="0"/>
    <n v="2"/>
    <n v="134.43"/>
    <n v="8.5"/>
    <x v="0"/>
    <x v="0"/>
    <n v="4"/>
    <d v="2025-07-10T00:00:00"/>
    <d v="2025-08-10T00:00:00"/>
    <n v="2"/>
    <n v="277.36"/>
  </r>
  <r>
    <s v="BK1017"/>
    <x v="45"/>
    <n v="214"/>
    <x v="0"/>
    <x v="1"/>
    <x v="3"/>
    <n v="2"/>
    <n v="86.92"/>
    <n v="8.5"/>
    <x v="0"/>
    <x v="0"/>
    <n v="5"/>
    <d v="2025-11-16T00:00:00"/>
    <d v="2025-12-18T00:00:00"/>
    <n v="3"/>
    <n v="269.26"/>
  </r>
  <r>
    <s v="BK1087"/>
    <x v="46"/>
    <n v="103"/>
    <x v="0"/>
    <x v="0"/>
    <x v="0"/>
    <n v="1"/>
    <n v="121.23"/>
    <n v="8.5"/>
    <x v="0"/>
    <x v="0"/>
    <n v="4"/>
    <d v="2025-11-09T00:00:00"/>
    <d v="2025-12-13T00:00:00"/>
    <n v="2"/>
    <n v="250.96"/>
  </r>
  <r>
    <s v="BK1042"/>
    <x v="47"/>
    <n v="217"/>
    <x v="1"/>
    <x v="3"/>
    <x v="5"/>
    <n v="1"/>
    <n v="120.64"/>
    <n v="8.5"/>
    <x v="0"/>
    <x v="0"/>
    <n v="5"/>
    <d v="2025-06-09T00:00:00"/>
    <d v="2025-07-21T00:00:00"/>
    <n v="2"/>
    <n v="249.78"/>
  </r>
  <r>
    <s v="BK1058"/>
    <x v="48"/>
    <n v="218"/>
    <x v="0"/>
    <x v="1"/>
    <x v="1"/>
    <n v="2"/>
    <n v="120.51"/>
    <n v="8.5"/>
    <x v="0"/>
    <x v="0"/>
    <n v="5"/>
    <d v="2025-07-23T00:00:00"/>
    <d v="2025-07-30T00:00:00"/>
    <n v="2"/>
    <n v="249.52"/>
  </r>
  <r>
    <s v="BK1106"/>
    <x v="1"/>
    <n v="114"/>
    <x v="0"/>
    <x v="0"/>
    <x v="0"/>
    <n v="2"/>
    <n v="118.66"/>
    <n v="8.5"/>
    <x v="0"/>
    <x v="0"/>
    <n v="4"/>
    <d v="2025-09-08T00:00:00"/>
    <d v="2025-10-18T00:00:00"/>
    <n v="2"/>
    <n v="245.82"/>
  </r>
  <r>
    <s v="BK1108"/>
    <x v="49"/>
    <n v="104"/>
    <x v="0"/>
    <x v="3"/>
    <x v="5"/>
    <n v="1"/>
    <n v="117.37"/>
    <n v="8.5"/>
    <x v="0"/>
    <x v="0"/>
    <n v="5"/>
    <d v="2024-12-28T00:00:00"/>
    <d v="2025-01-16T00:00:00"/>
    <n v="2"/>
    <n v="243.24"/>
  </r>
  <r>
    <s v="BK1086"/>
    <x v="50"/>
    <n v="205"/>
    <x v="0"/>
    <x v="3"/>
    <x v="4"/>
    <n v="2"/>
    <n v="117.34"/>
    <n v="8.5"/>
    <x v="0"/>
    <x v="0"/>
    <n v="4"/>
    <d v="2025-03-06T00:00:00"/>
    <d v="2025-04-14T00:00:00"/>
    <n v="2"/>
    <n v="243.18"/>
  </r>
  <r>
    <s v="BK1056"/>
    <x v="51"/>
    <n v="102"/>
    <x v="0"/>
    <x v="2"/>
    <x v="3"/>
    <n v="2"/>
    <n v="115.08"/>
    <n v="8.5"/>
    <x v="0"/>
    <x v="0"/>
    <n v="5"/>
    <d v="2025-01-08T00:00:00"/>
    <d v="2025-01-23T00:00:00"/>
    <n v="2"/>
    <n v="238.66"/>
  </r>
  <r>
    <s v="BK1053"/>
    <x v="52"/>
    <n v="210"/>
    <x v="0"/>
    <x v="3"/>
    <x v="2"/>
    <n v="3"/>
    <n v="111.93"/>
    <n v="8.5"/>
    <x v="0"/>
    <x v="0"/>
    <n v="4"/>
    <d v="2025-06-08T00:00:00"/>
    <d v="2025-08-03T00:00:00"/>
    <n v="2"/>
    <n v="232.36"/>
  </r>
  <r>
    <s v="BK1048"/>
    <x v="53"/>
    <n v="211"/>
    <x v="2"/>
    <x v="0"/>
    <x v="0"/>
    <n v="2"/>
    <n v="110.2"/>
    <n v="8.5"/>
    <x v="0"/>
    <x v="0"/>
    <n v="4"/>
    <d v="2025-07-05T00:00:00"/>
    <d v="2025-08-24T00:00:00"/>
    <n v="2"/>
    <n v="228.9"/>
  </r>
  <r>
    <s v="BK1019"/>
    <x v="54"/>
    <n v="217"/>
    <x v="2"/>
    <x v="2"/>
    <x v="7"/>
    <n v="2"/>
    <n v="109.22"/>
    <n v="8.5"/>
    <x v="0"/>
    <x v="0"/>
    <n v="4"/>
    <d v="2025-08-23T00:00:00"/>
    <d v="2025-10-11T00:00:00"/>
    <n v="2"/>
    <n v="226.94"/>
  </r>
  <r>
    <s v="BK1069"/>
    <x v="55"/>
    <n v="211"/>
    <x v="4"/>
    <x v="1"/>
    <x v="2"/>
    <n v="2"/>
    <n v="71.849999999999994"/>
    <n v="8.5"/>
    <x v="0"/>
    <x v="0"/>
    <n v="4"/>
    <d v="2024-12-07T00:00:00"/>
    <d v="2025-02-04T00:00:00"/>
    <n v="3"/>
    <n v="224.04999999999998"/>
  </r>
  <r>
    <s v="BK1050"/>
    <x v="56"/>
    <n v="205"/>
    <x v="0"/>
    <x v="2"/>
    <x v="4"/>
    <n v="2"/>
    <n v="107.23"/>
    <n v="8.5"/>
    <x v="0"/>
    <x v="0"/>
    <n v="4"/>
    <d v="2025-03-02T00:00:00"/>
    <d v="2025-03-19T00:00:00"/>
    <n v="2"/>
    <n v="222.96"/>
  </r>
  <r>
    <s v="BK1023"/>
    <x v="57"/>
    <n v="101"/>
    <x v="2"/>
    <x v="0"/>
    <x v="0"/>
    <n v="2"/>
    <n v="103.81"/>
    <n v="8.5"/>
    <x v="0"/>
    <x v="0"/>
    <n v="5"/>
    <d v="2025-01-11T00:00:00"/>
    <d v="2025-02-07T00:00:00"/>
    <n v="2"/>
    <n v="216.12"/>
  </r>
  <r>
    <s v="BK1092"/>
    <x v="58"/>
    <n v="218"/>
    <x v="0"/>
    <x v="2"/>
    <x v="2"/>
    <n v="4"/>
    <n v="102.62"/>
    <n v="8.5"/>
    <x v="0"/>
    <x v="0"/>
    <n v="4"/>
    <d v="2025-10-18T00:00:00"/>
    <d v="2025-11-21T00:00:00"/>
    <n v="2"/>
    <n v="213.74"/>
  </r>
  <r>
    <s v="BK1072"/>
    <x v="59"/>
    <n v="106"/>
    <x v="0"/>
    <x v="2"/>
    <x v="3"/>
    <n v="3"/>
    <n v="97.25"/>
    <n v="8.5"/>
    <x v="0"/>
    <x v="0"/>
    <n v="5"/>
    <d v="2025-04-05T00:00:00"/>
    <d v="2025-04-24T00:00:00"/>
    <n v="2"/>
    <n v="203"/>
  </r>
  <r>
    <s v="BK1074"/>
    <x v="60"/>
    <n v="108"/>
    <x v="0"/>
    <x v="2"/>
    <x v="6"/>
    <n v="2"/>
    <n v="97.14"/>
    <n v="8.5"/>
    <x v="0"/>
    <x v="0"/>
    <n v="5"/>
    <d v="2025-10-06T00:00:00"/>
    <d v="2025-11-05T00:00:00"/>
    <n v="2"/>
    <n v="202.78"/>
  </r>
  <r>
    <s v="BK1011"/>
    <x v="61"/>
    <n v="208"/>
    <x v="4"/>
    <x v="3"/>
    <x v="2"/>
    <n v="3"/>
    <n v="94.9"/>
    <n v="8.5"/>
    <x v="0"/>
    <x v="1"/>
    <n v="3"/>
    <d v="2025-02-02T00:00:00"/>
    <d v="2025-03-27T00:00:00"/>
    <n v="2"/>
    <n v="198.3"/>
  </r>
  <r>
    <s v="BK1054"/>
    <x v="62"/>
    <n v="117"/>
    <x v="2"/>
    <x v="0"/>
    <x v="3"/>
    <n v="2"/>
    <n v="94.81"/>
    <n v="8.5"/>
    <x v="0"/>
    <x v="0"/>
    <n v="4"/>
    <d v="2025-08-26T00:00:00"/>
    <d v="2025-09-01T00:00:00"/>
    <n v="2"/>
    <n v="198.12"/>
  </r>
  <r>
    <s v="BK1103"/>
    <x v="63"/>
    <n v="207"/>
    <x v="4"/>
    <x v="3"/>
    <x v="5"/>
    <n v="2"/>
    <n v="93.48"/>
    <n v="8.5"/>
    <x v="0"/>
    <x v="0"/>
    <n v="4"/>
    <d v="2025-09-06T00:00:00"/>
    <d v="2025-11-04T00:00:00"/>
    <n v="2"/>
    <n v="195.46"/>
  </r>
  <r>
    <s v="BK1021"/>
    <x v="64"/>
    <n v="215"/>
    <x v="2"/>
    <x v="2"/>
    <x v="2"/>
    <n v="2"/>
    <n v="93.36"/>
    <n v="8.5"/>
    <x v="0"/>
    <x v="0"/>
    <n v="4"/>
    <d v="2025-04-30T00:00:00"/>
    <d v="2025-05-15T00:00:00"/>
    <n v="2"/>
    <n v="195.22"/>
  </r>
  <r>
    <s v="BK1034"/>
    <x v="28"/>
    <n v="116"/>
    <x v="4"/>
    <x v="0"/>
    <x v="0"/>
    <n v="3"/>
    <n v="92.1"/>
    <n v="8.5"/>
    <x v="0"/>
    <x v="0"/>
    <n v="4"/>
    <d v="2025-05-25T00:00:00"/>
    <d v="2025-07-10T00:00:00"/>
    <n v="2"/>
    <n v="192.7"/>
  </r>
  <r>
    <s v="BK1036"/>
    <x v="65"/>
    <n v="111"/>
    <x v="4"/>
    <x v="3"/>
    <x v="0"/>
    <n v="1"/>
    <n v="91.46"/>
    <n v="8.5"/>
    <x v="0"/>
    <x v="0"/>
    <n v="4"/>
    <d v="2025-11-26T00:00:00"/>
    <d v="2025-12-16T00:00:00"/>
    <n v="2"/>
    <n v="191.42"/>
  </r>
  <r>
    <s v="BK1046"/>
    <x v="66"/>
    <n v="101"/>
    <x v="4"/>
    <x v="4"/>
    <x v="3"/>
    <n v="2"/>
    <n v="90.1"/>
    <n v="8.5"/>
    <x v="0"/>
    <x v="0"/>
    <n v="5"/>
    <d v="2025-03-29T00:00:00"/>
    <d v="2025-05-12T00:00:00"/>
    <n v="2"/>
    <n v="188.7"/>
  </r>
  <r>
    <s v="BK1009"/>
    <x v="67"/>
    <n v="212"/>
    <x v="2"/>
    <x v="3"/>
    <x v="3"/>
    <n v="2"/>
    <n v="89.19"/>
    <n v="8.5"/>
    <x v="0"/>
    <x v="0"/>
    <n v="5"/>
    <d v="2025-05-05T00:00:00"/>
    <d v="2025-06-18T00:00:00"/>
    <n v="2"/>
    <n v="186.88"/>
  </r>
  <r>
    <s v="BK1101"/>
    <x v="68"/>
    <n v="105"/>
    <x v="2"/>
    <x v="0"/>
    <x v="1"/>
    <n v="2"/>
    <n v="88.5"/>
    <n v="8.5"/>
    <x v="0"/>
    <x v="0"/>
    <n v="4"/>
    <d v="2025-10-03T00:00:00"/>
    <d v="2025-11-16T00:00:00"/>
    <n v="2"/>
    <n v="185.5"/>
  </r>
  <r>
    <s v="BK1030"/>
    <x v="69"/>
    <n v="108"/>
    <x v="4"/>
    <x v="2"/>
    <x v="6"/>
    <n v="2"/>
    <n v="85.12"/>
    <n v="8.5"/>
    <x v="0"/>
    <x v="0"/>
    <n v="5"/>
    <d v="2025-02-11T00:00:00"/>
    <d v="2025-03-02T00:00:00"/>
    <n v="2"/>
    <n v="178.74"/>
  </r>
  <r>
    <s v="BK1045"/>
    <x v="70"/>
    <n v="220"/>
    <x v="4"/>
    <x v="3"/>
    <x v="2"/>
    <n v="4"/>
    <n v="84.39"/>
    <n v="8.5"/>
    <x v="0"/>
    <x v="0"/>
    <n v="4"/>
    <d v="2024-12-29T00:00:00"/>
    <d v="2025-01-31T00:00:00"/>
    <n v="2"/>
    <n v="177.28"/>
  </r>
  <r>
    <s v="BK1118"/>
    <x v="71"/>
    <n v="102"/>
    <x v="4"/>
    <x v="2"/>
    <x v="2"/>
    <n v="2"/>
    <n v="81.34"/>
    <n v="8.5"/>
    <x v="0"/>
    <x v="0"/>
    <n v="4"/>
    <d v="2024-12-24T00:00:00"/>
    <d v="2025-02-12T00:00:00"/>
    <n v="2"/>
    <n v="171.18"/>
  </r>
  <r>
    <s v="BK1088"/>
    <x v="72"/>
    <n v="110"/>
    <x v="4"/>
    <x v="3"/>
    <x v="0"/>
    <n v="2"/>
    <n v="78.459999999999994"/>
    <n v="8.5"/>
    <x v="0"/>
    <x v="0"/>
    <n v="4"/>
    <d v="2024-12-17T00:00:00"/>
    <d v="2025-01-15T00:00:00"/>
    <n v="2"/>
    <n v="165.42"/>
  </r>
  <r>
    <s v="BK1039"/>
    <x v="73"/>
    <n v="208"/>
    <x v="1"/>
    <x v="0"/>
    <x v="2"/>
    <n v="3"/>
    <n v="144.44999999999999"/>
    <n v="8.5"/>
    <x v="0"/>
    <x v="0"/>
    <n v="4"/>
    <d v="2024-12-17T00:00:00"/>
    <d v="2025-01-26T00:00:00"/>
    <n v="1"/>
    <n v="152.94999999999999"/>
  </r>
  <r>
    <s v="BK1004"/>
    <x v="74"/>
    <n v="107"/>
    <x v="1"/>
    <x v="0"/>
    <x v="5"/>
    <n v="2"/>
    <n v="138.25"/>
    <n v="8.5"/>
    <x v="0"/>
    <x v="0"/>
    <n v="4"/>
    <d v="2025-02-02T00:00:00"/>
    <d v="2025-02-28T00:00:00"/>
    <n v="1"/>
    <n v="146.75"/>
  </r>
  <r>
    <s v="BK1041"/>
    <x v="46"/>
    <n v="120"/>
    <x v="1"/>
    <x v="3"/>
    <x v="6"/>
    <n v="2"/>
    <n v="134.4"/>
    <n v="8.5"/>
    <x v="0"/>
    <x v="0"/>
    <n v="5"/>
    <d v="2025-10-25T00:00:00"/>
    <d v="2025-12-12T00:00:00"/>
    <n v="1"/>
    <n v="142.9"/>
  </r>
  <r>
    <s v="BK1115"/>
    <x v="75"/>
    <n v="219"/>
    <x v="1"/>
    <x v="0"/>
    <x v="4"/>
    <n v="3"/>
    <n v="127.76"/>
    <n v="8.5"/>
    <x v="0"/>
    <x v="0"/>
    <n v="3"/>
    <d v="2025-07-22T00:00:00"/>
    <d v="2025-08-11T00:00:00"/>
    <n v="1"/>
    <n v="136.26"/>
  </r>
  <r>
    <s v="BK1012"/>
    <x v="76"/>
    <n v="215"/>
    <x v="1"/>
    <x v="0"/>
    <x v="4"/>
    <n v="2"/>
    <n v="125.22"/>
    <n v="8.5"/>
    <x v="0"/>
    <x v="1"/>
    <n v="5"/>
    <d v="2025-11-06T00:00:00"/>
    <d v="2025-12-21T00:00:00"/>
    <n v="1"/>
    <n v="133.72"/>
  </r>
  <r>
    <s v="BK1084"/>
    <x v="77"/>
    <n v="105"/>
    <x v="1"/>
    <x v="3"/>
    <x v="6"/>
    <n v="3"/>
    <n v="119.35"/>
    <n v="8.5"/>
    <x v="0"/>
    <x v="0"/>
    <n v="5"/>
    <d v="2025-07-29T00:00:00"/>
    <d v="2025-09-24T00:00:00"/>
    <n v="1"/>
    <n v="127.85"/>
  </r>
  <r>
    <s v="BK1076"/>
    <x v="78"/>
    <n v="208"/>
    <x v="1"/>
    <x v="0"/>
    <x v="4"/>
    <n v="1"/>
    <n v="118.01"/>
    <n v="8.5"/>
    <x v="0"/>
    <x v="0"/>
    <n v="5"/>
    <d v="2025-09-12T00:00:00"/>
    <d v="2025-11-09T00:00:00"/>
    <n v="1"/>
    <n v="126.51"/>
  </r>
  <r>
    <s v="BK1102"/>
    <x v="79"/>
    <n v="215"/>
    <x v="0"/>
    <x v="3"/>
    <x v="2"/>
    <n v="2"/>
    <n v="115.11"/>
    <n v="8.5"/>
    <x v="0"/>
    <x v="1"/>
    <n v="4"/>
    <d v="2025-02-18T00:00:00"/>
    <d v="2025-03-07T00:00:00"/>
    <n v="1"/>
    <n v="123.61"/>
  </r>
  <r>
    <s v="BK1114"/>
    <x v="80"/>
    <n v="204"/>
    <x v="0"/>
    <x v="1"/>
    <x v="5"/>
    <n v="3"/>
    <n v="111.85"/>
    <n v="8.5"/>
    <x v="0"/>
    <x v="0"/>
    <n v="5"/>
    <d v="2025-06-28T00:00:00"/>
    <d v="2025-08-16T00:00:00"/>
    <n v="1"/>
    <n v="120.35"/>
  </r>
  <r>
    <s v="BK1109"/>
    <x v="81"/>
    <n v="213"/>
    <x v="0"/>
    <x v="1"/>
    <x v="1"/>
    <n v="4"/>
    <n v="110.64"/>
    <n v="8.5"/>
    <x v="0"/>
    <x v="1"/>
    <n v="3"/>
    <d v="2025-10-07T00:00:00"/>
    <d v="2025-11-06T00:00:00"/>
    <n v="1"/>
    <n v="119.14"/>
  </r>
  <r>
    <s v="BK1066"/>
    <x v="67"/>
    <n v="215"/>
    <x v="0"/>
    <x v="2"/>
    <x v="3"/>
    <n v="4"/>
    <n v="109.53"/>
    <n v="8.5"/>
    <x v="0"/>
    <x v="1"/>
    <n v="5"/>
    <d v="2025-04-29T00:00:00"/>
    <d v="2025-06-17T00:00:00"/>
    <n v="1"/>
    <n v="118.03"/>
  </r>
  <r>
    <s v="BK1026"/>
    <x v="82"/>
    <n v="217"/>
    <x v="0"/>
    <x v="1"/>
    <x v="5"/>
    <n v="1"/>
    <n v="107.58"/>
    <n v="8.5"/>
    <x v="0"/>
    <x v="0"/>
    <n v="4"/>
    <d v="2025-04-06T00:00:00"/>
    <d v="2025-08-01T00:00:00"/>
    <n v="1"/>
    <n v="116.08"/>
  </r>
  <r>
    <s v="BK1047"/>
    <x v="64"/>
    <n v="109"/>
    <x v="2"/>
    <x v="0"/>
    <x v="0"/>
    <n v="2"/>
    <n v="103.38"/>
    <n v="8.5"/>
    <x v="0"/>
    <x v="0"/>
    <n v="5"/>
    <d v="2025-04-13T00:00:00"/>
    <d v="2025-05-14T00:00:00"/>
    <n v="1"/>
    <n v="111.88"/>
  </r>
  <r>
    <s v="BK1001"/>
    <x v="83"/>
    <n v="118"/>
    <x v="0"/>
    <x v="2"/>
    <x v="3"/>
    <n v="4"/>
    <n v="98.07"/>
    <n v="8.5"/>
    <x v="0"/>
    <x v="0"/>
    <n v="5"/>
    <d v="2025-11-27T00:00:00"/>
    <d v="2025-11-30T00:00:00"/>
    <n v="1"/>
    <n v="106.57"/>
  </r>
  <r>
    <s v="BK1018"/>
    <x v="84"/>
    <n v="104"/>
    <x v="0"/>
    <x v="1"/>
    <x v="4"/>
    <n v="2"/>
    <n v="97.13"/>
    <n v="8.5"/>
    <x v="0"/>
    <x v="0"/>
    <n v="4"/>
    <d v="2025-04-23T00:00:00"/>
    <d v="2025-04-29T00:00:00"/>
    <n v="1"/>
    <n v="105.63"/>
  </r>
  <r>
    <s v="BK1002"/>
    <x v="75"/>
    <n v="106"/>
    <x v="0"/>
    <x v="2"/>
    <x v="5"/>
    <n v="3"/>
    <n v="95.8"/>
    <n v="8.5"/>
    <x v="0"/>
    <x v="0"/>
    <n v="5"/>
    <d v="2025-08-08T00:00:00"/>
    <d v="2025-08-11T00:00:00"/>
    <n v="1"/>
    <n v="104.3"/>
  </r>
  <r>
    <s v="BK1006"/>
    <x v="85"/>
    <n v="118"/>
    <x v="4"/>
    <x v="0"/>
    <x v="3"/>
    <n v="2"/>
    <n v="95.66"/>
    <n v="8.5"/>
    <x v="0"/>
    <x v="0"/>
    <n v="5"/>
    <d v="2025-04-10T00:00:00"/>
    <d v="2025-05-06T00:00:00"/>
    <n v="1"/>
    <n v="104.16"/>
  </r>
  <r>
    <s v="BK1099"/>
    <x v="86"/>
    <n v="115"/>
    <x v="2"/>
    <x v="0"/>
    <x v="4"/>
    <n v="2"/>
    <n v="85.42"/>
    <n v="8.5"/>
    <x v="0"/>
    <x v="2"/>
    <n v="5"/>
    <d v="2025-08-23T00:00:00"/>
    <d v="2025-09-03T00:00:00"/>
    <n v="1"/>
    <n v="93.92"/>
  </r>
  <r>
    <s v="BK1105"/>
    <x v="87"/>
    <n v="114"/>
    <x v="4"/>
    <x v="1"/>
    <x v="0"/>
    <n v="2"/>
    <n v="76.09"/>
    <n v="8.5"/>
    <x v="0"/>
    <x v="0"/>
    <n v="3"/>
    <d v="2025-08-26T00:00:00"/>
    <d v="2025-08-27T00:00:00"/>
    <n v="1"/>
    <n v="84.59"/>
  </r>
  <r>
    <s v="BK1022"/>
    <x v="88"/>
    <n v="215"/>
    <x v="4"/>
    <x v="1"/>
    <x v="0"/>
    <n v="2"/>
    <n v="74.16"/>
    <n v="8.5"/>
    <x v="0"/>
    <x v="0"/>
    <n v="4"/>
    <d v="2025-10-10T00:00:00"/>
    <d v="2025-10-15T00:00:00"/>
    <n v="1"/>
    <n v="82.66"/>
  </r>
  <r>
    <s v="BK1040"/>
    <x v="89"/>
    <n v="208"/>
    <x v="4"/>
    <x v="2"/>
    <x v="6"/>
    <n v="2"/>
    <n v="71.75"/>
    <n v="8.5"/>
    <x v="0"/>
    <x v="0"/>
    <n v="4"/>
    <d v="2025-03-31T00:00:00"/>
    <d v="2025-05-17T00:00:00"/>
    <n v="1"/>
    <n v="80.25"/>
  </r>
  <r>
    <s v="BK1007"/>
    <x v="90"/>
    <n v="111"/>
    <x v="0"/>
    <x v="2"/>
    <x v="2"/>
    <n v="2"/>
    <n v="103.1"/>
    <n v="8.5"/>
    <x v="1"/>
    <x v="2"/>
    <m/>
    <d v="2025-10-25T00:00:00"/>
    <d v="2025-12-04T00:00:00"/>
    <n v="1"/>
    <n v="0"/>
  </r>
  <r>
    <s v="BK1014"/>
    <x v="54"/>
    <n v="101"/>
    <x v="1"/>
    <x v="3"/>
    <x v="4"/>
    <n v="1"/>
    <n v="142.52000000000001"/>
    <n v="8.5"/>
    <x v="1"/>
    <x v="1"/>
    <m/>
    <d v="2025-08-11T00:00:00"/>
    <d v="2025-10-14T00:00:00"/>
    <n v="5"/>
    <n v="0"/>
  </r>
  <r>
    <s v="BK1015"/>
    <x v="91"/>
    <n v="217"/>
    <x v="4"/>
    <x v="1"/>
    <x v="1"/>
    <n v="2"/>
    <n v="90.4"/>
    <n v="8.5"/>
    <x v="2"/>
    <x v="1"/>
    <m/>
    <d v="2025-04-22T00:00:00"/>
    <d v="2025-05-09T00:00:00"/>
    <n v="1"/>
    <n v="0"/>
  </r>
  <r>
    <s v="BK1020"/>
    <x v="92"/>
    <n v="210"/>
    <x v="4"/>
    <x v="1"/>
    <x v="4"/>
    <n v="2"/>
    <n v="88.21"/>
    <n v="8.5"/>
    <x v="1"/>
    <x v="2"/>
    <m/>
    <d v="2025-06-09T00:00:00"/>
    <d v="2025-07-10T00:00:00"/>
    <n v="4"/>
    <n v="0"/>
  </r>
  <r>
    <s v="BK1033"/>
    <x v="93"/>
    <n v="110"/>
    <x v="2"/>
    <x v="2"/>
    <x v="4"/>
    <n v="2"/>
    <n v="95.94"/>
    <n v="8.5"/>
    <x v="1"/>
    <x v="2"/>
    <m/>
    <d v="2025-06-08T00:00:00"/>
    <d v="2025-07-19T00:00:00"/>
    <n v="5"/>
    <n v="0"/>
  </r>
  <r>
    <s v="BK1035"/>
    <x v="94"/>
    <n v="112"/>
    <x v="2"/>
    <x v="1"/>
    <x v="3"/>
    <n v="4"/>
    <n v="112.73"/>
    <n v="8.5"/>
    <x v="1"/>
    <x v="1"/>
    <m/>
    <d v="2025-03-16T00:00:00"/>
    <d v="2025-05-09T00:00:00"/>
    <n v="2"/>
    <n v="0"/>
  </r>
  <r>
    <s v="BK1038"/>
    <x v="35"/>
    <n v="215"/>
    <x v="1"/>
    <x v="1"/>
    <x v="4"/>
    <n v="2"/>
    <n v="116.25"/>
    <n v="8.5"/>
    <x v="2"/>
    <x v="0"/>
    <m/>
    <d v="2025-06-08T00:00:00"/>
    <d v="2025-07-09T00:00:00"/>
    <n v="5"/>
    <n v="0"/>
  </r>
  <r>
    <s v="BK1043"/>
    <x v="95"/>
    <n v="209"/>
    <x v="2"/>
    <x v="2"/>
    <x v="5"/>
    <n v="2"/>
    <n v="108.81"/>
    <n v="8.5"/>
    <x v="2"/>
    <x v="1"/>
    <m/>
    <d v="2025-11-07T00:00:00"/>
    <d v="2025-12-10T00:00:00"/>
    <n v="3"/>
    <n v="0"/>
  </r>
  <r>
    <s v="BK1044"/>
    <x v="27"/>
    <n v="213"/>
    <x v="1"/>
    <x v="1"/>
    <x v="0"/>
    <n v="2"/>
    <n v="133.55000000000001"/>
    <n v="8.5"/>
    <x v="1"/>
    <x v="0"/>
    <n v="3"/>
    <d v="2025-11-20T00:00:00"/>
    <d v="2025-12-10T00:00:00"/>
    <n v="1"/>
    <n v="0"/>
  </r>
  <r>
    <s v="BK1049"/>
    <x v="96"/>
    <n v="209"/>
    <x v="4"/>
    <x v="0"/>
    <x v="3"/>
    <n v="2"/>
    <n v="78.400000000000006"/>
    <n v="8.5"/>
    <x v="1"/>
    <x v="2"/>
    <m/>
    <d v="2025-11-04T00:00:00"/>
    <d v="2025-11-24T00:00:00"/>
    <n v="2"/>
    <n v="0"/>
  </r>
  <r>
    <s v="BK1055"/>
    <x v="97"/>
    <n v="102"/>
    <x v="4"/>
    <x v="0"/>
    <x v="3"/>
    <n v="4"/>
    <n v="71.72"/>
    <n v="8.5"/>
    <x v="2"/>
    <x v="1"/>
    <m/>
    <d v="2025-04-14T00:00:00"/>
    <d v="2025-05-16T00:00:00"/>
    <n v="1"/>
    <n v="0"/>
  </r>
  <r>
    <s v="BK1057"/>
    <x v="98"/>
    <n v="219"/>
    <x v="4"/>
    <x v="2"/>
    <x v="7"/>
    <n v="1"/>
    <n v="84.47"/>
    <n v="8.5"/>
    <x v="1"/>
    <x v="1"/>
    <m/>
    <d v="2025-05-06T00:00:00"/>
    <d v="2025-05-20T00:00:00"/>
    <n v="3"/>
    <n v="0"/>
  </r>
  <r>
    <s v="BK1059"/>
    <x v="99"/>
    <n v="208"/>
    <x v="1"/>
    <x v="1"/>
    <x v="5"/>
    <n v="4"/>
    <n v="103.81"/>
    <n v="8.5"/>
    <x v="1"/>
    <x v="1"/>
    <m/>
    <d v="2024-12-23T00:00:00"/>
    <d v="2025-01-30T00:00:00"/>
    <n v="3"/>
    <n v="0"/>
  </r>
  <r>
    <s v="BK1071"/>
    <x v="100"/>
    <n v="218"/>
    <x v="2"/>
    <x v="0"/>
    <x v="5"/>
    <n v="3"/>
    <n v="86.81"/>
    <n v="8.5"/>
    <x v="2"/>
    <x v="1"/>
    <m/>
    <d v="2025-06-25T00:00:00"/>
    <d v="2025-08-23T00:00:00"/>
    <n v="3"/>
    <n v="0"/>
  </r>
  <r>
    <s v="BK1078"/>
    <x v="101"/>
    <n v="211"/>
    <x v="1"/>
    <x v="3"/>
    <x v="6"/>
    <n v="2"/>
    <n v="133.44999999999999"/>
    <n v="8.5"/>
    <x v="1"/>
    <x v="1"/>
    <m/>
    <d v="2025-11-21T00:00:00"/>
    <d v="2025-12-01T00:00:00"/>
    <n v="4"/>
    <n v="0"/>
  </r>
  <r>
    <s v="BK1081"/>
    <x v="42"/>
    <n v="109"/>
    <x v="1"/>
    <x v="3"/>
    <x v="1"/>
    <n v="2"/>
    <n v="114.25"/>
    <n v="8.5"/>
    <x v="2"/>
    <x v="1"/>
    <m/>
    <d v="2025-03-15T00:00:00"/>
    <d v="2025-04-23T00:00:00"/>
    <n v="3"/>
    <n v="0"/>
  </r>
  <r>
    <s v="BK1090"/>
    <x v="102"/>
    <n v="107"/>
    <x v="2"/>
    <x v="2"/>
    <x v="1"/>
    <n v="2"/>
    <n v="112.1"/>
    <n v="8.5"/>
    <x v="2"/>
    <x v="0"/>
    <n v="4"/>
    <d v="2025-02-14T00:00:00"/>
    <d v="2025-02-25T00:00:00"/>
    <n v="4"/>
    <n v="0"/>
  </r>
  <r>
    <s v="BK1096"/>
    <x v="101"/>
    <n v="117"/>
    <x v="0"/>
    <x v="1"/>
    <x v="1"/>
    <n v="4"/>
    <n v="96.18"/>
    <n v="8.5"/>
    <x v="1"/>
    <x v="2"/>
    <m/>
    <d v="2025-10-18T00:00:00"/>
    <d v="2025-11-29T00:00:00"/>
    <n v="2"/>
    <n v="0"/>
  </r>
  <r>
    <s v="BK1107"/>
    <x v="103"/>
    <n v="112"/>
    <x v="4"/>
    <x v="1"/>
    <x v="3"/>
    <n v="1"/>
    <n v="78.959999999999994"/>
    <n v="8.5"/>
    <x v="1"/>
    <x v="1"/>
    <m/>
    <d v="2025-02-24T00:00:00"/>
    <d v="2025-03-18T00:00:00"/>
    <n v="5"/>
    <n v="0"/>
  </r>
  <r>
    <s v="BK1113"/>
    <x v="104"/>
    <n v="117"/>
    <x v="1"/>
    <x v="2"/>
    <x v="1"/>
    <n v="2"/>
    <n v="112.35"/>
    <n v="8.5"/>
    <x v="1"/>
    <x v="2"/>
    <m/>
    <d v="2025-05-25T00:00:00"/>
    <d v="2025-06-19T00:00:00"/>
    <n v="4"/>
    <n v="0"/>
  </r>
  <r>
    <s v="BK1116"/>
    <x v="35"/>
    <n v="108"/>
    <x v="1"/>
    <x v="2"/>
    <x v="0"/>
    <n v="2"/>
    <n v="139.58000000000001"/>
    <n v="8.5"/>
    <x v="2"/>
    <x v="1"/>
    <m/>
    <d v="2025-06-10T00:00:00"/>
    <d v="2025-07-09T00:00:00"/>
    <n v="5"/>
    <n v="0"/>
  </r>
  <r>
    <s v="BK1117"/>
    <x v="105"/>
    <n v="112"/>
    <x v="1"/>
    <x v="0"/>
    <x v="6"/>
    <n v="2"/>
    <n v="110.21"/>
    <n v="8.5"/>
    <x v="1"/>
    <x v="1"/>
    <m/>
    <d v="2025-11-11T00:00:00"/>
    <d v="2025-11-16T00:00:00"/>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C45A5C-2C07-8145-9780-1A350DB0D8C6}"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M2" firstHeaderRow="1" firstDataRow="1" firstDataCol="0"/>
  <pivotFields count="18">
    <pivotField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showAll="0"/>
    <pivotField showAll="0">
      <items count="4">
        <item x="0"/>
        <item x="1"/>
        <item x="2"/>
        <item t="default"/>
      </items>
    </pivotField>
    <pivotField dataField="1" showAll="0"/>
    <pivotField numFmtId="14" showAll="0"/>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Guest_Rating"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C9BCF-9060-C04D-A776-D21E5D8421F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rowPageCount="1" colPageCount="1"/>
  <pivotFields count="18">
    <pivotField dataField="1"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axis="axisPage" multipleItemSelectionAllowed="1" showAll="0">
      <items count="4">
        <item x="1"/>
        <item h="1" x="0"/>
        <item h="1" x="2"/>
        <item t="default"/>
      </items>
    </pivotField>
    <pivotField showAll="0">
      <items count="4">
        <item x="0"/>
        <item x="1"/>
        <item x="2"/>
        <item t="default"/>
      </items>
    </pivotField>
    <pivotField showAll="0"/>
    <pivotField numFmtId="14" showAll="0"/>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9" hier="-1"/>
  </pageField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A1081-FE7B-9942-A0B9-D03FD1C1A2A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rowPageCount="1" colPageCount="1"/>
  <pivotFields count="18">
    <pivotField dataField="1"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axis="axisPage" multipleItemSelectionAllowed="1" showAll="0">
      <items count="4">
        <item h="1" x="1"/>
        <item x="0"/>
        <item h="1" x="2"/>
        <item t="default"/>
      </items>
    </pivotField>
    <pivotField showAll="0">
      <items count="4">
        <item x="0"/>
        <item x="1"/>
        <item x="2"/>
        <item t="default"/>
      </items>
    </pivotField>
    <pivotField showAll="0"/>
    <pivotField numFmtId="14" showAll="0"/>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9" hier="-1"/>
  </pageField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1EC4C-F535-0840-B9C9-431DC4D0AE1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D2" firstHeaderRow="1" firstDataRow="1" firstDataCol="0"/>
  <pivotFields count="18">
    <pivotField dataField="1"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showAll="0"/>
    <pivotField showAll="0">
      <items count="4">
        <item x="0"/>
        <item x="1"/>
        <item x="2"/>
        <item t="default"/>
      </items>
    </pivotField>
    <pivotField showAll="0"/>
    <pivotField numFmtId="14" showAll="0"/>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327146-4A49-CD44-B66B-0CD9B9C5FF4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8">
    <pivotField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showAll="0"/>
    <pivotField showAll="0">
      <items count="4">
        <item x="0"/>
        <item x="1"/>
        <item x="2"/>
        <item t="default"/>
      </items>
    </pivotField>
    <pivotField showAll="0"/>
    <pivotField numFmtId="14" showAll="0"/>
    <pivotField numFmtId="14"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Estimated_Revenue_GBP"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EEFD7C-1E61-B34B-B692-85EAE8F200F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9" firstHeaderRow="1" firstDataRow="1" firstDataCol="1"/>
  <pivotFields count="18">
    <pivotField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axis="axisRow"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showAll="0"/>
    <pivotField showAll="0">
      <items count="4">
        <item x="0"/>
        <item x="1"/>
        <item x="2"/>
        <item t="default"/>
      </items>
    </pivotField>
    <pivotField showAll="0"/>
    <pivotField numFmtId="14" showAll="0"/>
    <pivotField numFmtId="14"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Estimated_Revenue_GBP" fld="15" baseField="0" baseItem="0" numFmtId="167"/>
  </dataFields>
  <chartFormats count="2">
    <chartFormat chart="7"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AA7545-1D3F-4148-8C72-2709474933F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9" firstHeaderRow="1" firstDataRow="1" firstDataCol="1"/>
  <pivotFields count="18">
    <pivotField dataField="1"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axis="axisRow"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showAll="0"/>
    <pivotField showAll="0">
      <items count="4">
        <item x="0"/>
        <item x="1"/>
        <item x="2"/>
        <item t="default"/>
      </items>
    </pivotField>
    <pivotField showAll="0"/>
    <pivotField numFmtId="14"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Count of Booking_ID" fld="0" subtotal="count" baseField="0" baseItem="0"/>
  </dataFields>
  <chartFormats count="2">
    <chartFormat chart="3"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06B223-015D-B947-8EAD-07E02497609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8">
    <pivotField dataField="1"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axis="axisRow" showAll="0">
      <items count="4">
        <item x="1"/>
        <item x="0"/>
        <item x="2"/>
        <item t="default"/>
      </items>
    </pivotField>
    <pivotField showAll="0">
      <items count="4">
        <item x="0"/>
        <item x="1"/>
        <item x="2"/>
        <item t="default"/>
      </items>
    </pivotField>
    <pivotField showAll="0"/>
    <pivotField numFmtId="14"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Booking_ID" fld="0" subtotal="count" baseField="0"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9" count="1" selected="0">
            <x v="0"/>
          </reference>
        </references>
      </pivotArea>
    </chartFormat>
    <chartFormat chart="6" format="15">
      <pivotArea type="data" outline="0" fieldPosition="0">
        <references count="2">
          <reference field="4294967294" count="1" selected="0">
            <x v="0"/>
          </reference>
          <reference field="9" count="1" selected="0">
            <x v="1"/>
          </reference>
        </references>
      </pivotArea>
    </chartFormat>
    <chartFormat chart="6" format="1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0474CB-6D7A-E349-907F-B068249FA8D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6" firstHeaderRow="1" firstDataRow="1" firstDataCol="1"/>
  <pivotFields count="18">
    <pivotField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showAll="0"/>
    <pivotField showAll="0">
      <items count="4">
        <item x="0"/>
        <item x="1"/>
        <item x="2"/>
        <item t="default"/>
      </items>
    </pivotField>
    <pivotField showAll="0"/>
    <pivotField numFmtId="14" showAll="0"/>
    <pivotField numFmtId="14"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Estimated_Revenue_GBP" fld="15"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1DD6C5-A6E8-874E-82ED-A7A45E0FDD4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18">
    <pivotField showAll="0"/>
    <pivotField numFmtId="14" showAll="0">
      <items count="107">
        <item x="20"/>
        <item x="32"/>
        <item x="72"/>
        <item x="49"/>
        <item x="33"/>
        <item x="51"/>
        <item x="73"/>
        <item x="99"/>
        <item x="70"/>
        <item x="55"/>
        <item x="11"/>
        <item x="57"/>
        <item x="71"/>
        <item x="4"/>
        <item x="102"/>
        <item x="74"/>
        <item x="69"/>
        <item x="18"/>
        <item x="79"/>
        <item x="6"/>
        <item x="103"/>
        <item x="56"/>
        <item x="61"/>
        <item x="41"/>
        <item x="50"/>
        <item x="36"/>
        <item x="42"/>
        <item x="59"/>
        <item x="84"/>
        <item x="85"/>
        <item x="94"/>
        <item x="91"/>
        <item x="66"/>
        <item x="40"/>
        <item x="64"/>
        <item x="97"/>
        <item x="89"/>
        <item x="98"/>
        <item x="21"/>
        <item x="17"/>
        <item x="19"/>
        <item x="9"/>
        <item x="12"/>
        <item x="104"/>
        <item x="67"/>
        <item x="35"/>
        <item x="92"/>
        <item x="28"/>
        <item x="93"/>
        <item x="47"/>
        <item x="48"/>
        <item x="82"/>
        <item x="52"/>
        <item x="39"/>
        <item x="44"/>
        <item x="25"/>
        <item x="75"/>
        <item x="80"/>
        <item x="100"/>
        <item x="37"/>
        <item x="53"/>
        <item x="87"/>
        <item x="62"/>
        <item x="2"/>
        <item x="86"/>
        <item x="31"/>
        <item x="29"/>
        <item x="24"/>
        <item x="5"/>
        <item x="3"/>
        <item x="77"/>
        <item x="0"/>
        <item x="8"/>
        <item x="54"/>
        <item x="88"/>
        <item x="1"/>
        <item x="43"/>
        <item x="13"/>
        <item x="38"/>
        <item x="22"/>
        <item x="14"/>
        <item x="63"/>
        <item x="60"/>
        <item x="81"/>
        <item x="26"/>
        <item x="78"/>
        <item x="105"/>
        <item x="68"/>
        <item x="58"/>
        <item x="96"/>
        <item x="10"/>
        <item x="101"/>
        <item x="30"/>
        <item x="83"/>
        <item x="90"/>
        <item x="15"/>
        <item x="95"/>
        <item x="27"/>
        <item x="7"/>
        <item x="46"/>
        <item x="65"/>
        <item x="45"/>
        <item x="23"/>
        <item x="16"/>
        <item x="76"/>
        <item x="34"/>
        <item t="default"/>
      </items>
    </pivotField>
    <pivotField showAll="0"/>
    <pivotField axis="axisRow" showAll="0">
      <items count="6">
        <item x="0"/>
        <item x="2"/>
        <item x="1"/>
        <item x="4"/>
        <item x="3"/>
        <item t="default"/>
      </items>
    </pivotField>
    <pivotField showAll="0">
      <items count="6">
        <item x="0"/>
        <item x="1"/>
        <item x="2"/>
        <item x="4"/>
        <item x="3"/>
        <item t="default"/>
      </items>
    </pivotField>
    <pivotField showAll="0">
      <items count="9">
        <item x="0"/>
        <item x="2"/>
        <item x="1"/>
        <item x="5"/>
        <item x="6"/>
        <item x="4"/>
        <item x="3"/>
        <item x="7"/>
        <item t="default"/>
      </items>
    </pivotField>
    <pivotField showAll="0"/>
    <pivotField showAll="0"/>
    <pivotField showAll="0"/>
    <pivotField showAll="0"/>
    <pivotField showAll="0">
      <items count="4">
        <item x="0"/>
        <item x="1"/>
        <item x="2"/>
        <item t="default"/>
      </items>
    </pivotField>
    <pivotField dataField="1" showAll="0"/>
    <pivotField numFmtId="14" showAll="0"/>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Average of Guest_Rating" fld="11" subtotal="average" baseField="0" baseItem="0" numFmtId="2"/>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74D624-C343-A348-88A5-5F3153BD55A5}" autoFormatId="16" applyNumberFormats="0" applyBorderFormats="0" applyFontFormats="0" applyPatternFormats="0" applyAlignmentFormats="0" applyWidthHeightFormats="0">
  <queryTableRefresh nextId="17">
    <queryTableFields count="16">
      <queryTableField id="1" name="Booking_ID" tableColumnId="1"/>
      <queryTableField id="2" name="Check_In_Date" tableColumnId="2"/>
      <queryTableField id="3" name="Room_Number" tableColumnId="3"/>
      <queryTableField id="4" name="Room_Type" tableColumnId="4"/>
      <queryTableField id="5" name="Booking_Source" tableColumnId="5"/>
      <queryTableField id="6" name="Guest_Country" tableColumnId="6"/>
      <queryTableField id="7" name="Adults" tableColumnId="7"/>
      <queryTableField id="8" name="Nightly_Rate_GBP" tableColumnId="8"/>
      <queryTableField id="9" name="Resort_Fee_GBP" tableColumnId="9"/>
      <queryTableField id="10" name="Booking_Status" tableColumnId="10"/>
      <queryTableField id="11" name="Payment_Status" tableColumnId="11"/>
      <queryTableField id="12" name="Guest_Rating" tableColumnId="12"/>
      <queryTableField id="13" name="Booking_Date" tableColumnId="13"/>
      <queryTableField id="14" name="Check_Out_Date" tableColumnId="14"/>
      <queryTableField id="15" name="Nights" tableColumnId="15"/>
      <queryTableField id="16" name="Estimated_Revenue_GBP"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6438C7FB-95E6-3042-A3F8-624525F7CB7A}" sourceName="Room_Type">
  <pivotTables>
    <pivotTable tabId="7" name="PivotTable1"/>
    <pivotTable tabId="8" name="PivotTable2"/>
    <pivotTable tabId="9" name="PivotTable3"/>
    <pivotTable tabId="10" name="PivotTable4"/>
    <pivotTable tabId="11" name="PivotTable5"/>
    <pivotTable tabId="16" name="PivotTable10"/>
    <pivotTable tabId="16" name="PivotTable6"/>
    <pivotTable tabId="16" name="PivotTable7"/>
    <pivotTable tabId="16" name="PivotTable8"/>
    <pivotTable tabId="16" name="PivotTable9"/>
  </pivotTables>
  <data>
    <tabular pivotCacheId="1983970043">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ource" xr10:uid="{CBCAB127-B415-A345-AA79-46F574D6BDB1}" sourceName="Booking_Source">
  <pivotTables>
    <pivotTable tabId="8" name="PivotTable2"/>
    <pivotTable tabId="9" name="PivotTable3"/>
    <pivotTable tabId="10" name="PivotTable4"/>
    <pivotTable tabId="11" name="PivotTable5"/>
    <pivotTable tabId="7" name="PivotTable1"/>
    <pivotTable tabId="16" name="PivotTable10"/>
    <pivotTable tabId="16" name="PivotTable6"/>
    <pivotTable tabId="16" name="PivotTable7"/>
    <pivotTable tabId="16" name="PivotTable8"/>
    <pivotTable tabId="16" name="PivotTable9"/>
  </pivotTables>
  <data>
    <tabular pivotCacheId="1983970043">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D083CC90-0CCA-9C4B-9A18-DE663C0ECFE5}" sourceName="Payment_Status">
  <pivotTables>
    <pivotTable tabId="8" name="PivotTable2"/>
    <pivotTable tabId="9" name="PivotTable3"/>
    <pivotTable tabId="10" name="PivotTable4"/>
    <pivotTable tabId="11" name="PivotTable5"/>
    <pivotTable tabId="7" name="PivotTable1"/>
    <pivotTable tabId="16" name="PivotTable10"/>
    <pivotTable tabId="16" name="PivotTable6"/>
    <pivotTable tabId="16" name="PivotTable7"/>
    <pivotTable tabId="16" name="PivotTable8"/>
    <pivotTable tabId="16" name="PivotTable9"/>
  </pivotTables>
  <data>
    <tabular pivotCacheId="198397004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uest_Country" xr10:uid="{52D8F5A9-363C-274E-9EA2-0DFE92995DE2}" sourceName="Guest_Country">
  <pivotTables>
    <pivotTable tabId="8" name="PivotTable2"/>
    <pivotTable tabId="9" name="PivotTable3"/>
    <pivotTable tabId="10" name="PivotTable4"/>
    <pivotTable tabId="11" name="PivotTable5"/>
    <pivotTable tabId="7" name="PivotTable1"/>
    <pivotTable tabId="16" name="PivotTable10"/>
    <pivotTable tabId="16" name="PivotTable6"/>
    <pivotTable tabId="16" name="PivotTable7"/>
    <pivotTable tabId="16" name="PivotTable8"/>
    <pivotTable tabId="16" name="PivotTable9"/>
  </pivotTables>
  <data>
    <tabular pivotCacheId="1983970043">
      <items count="8">
        <i x="0" s="1"/>
        <i x="2" s="1"/>
        <i x="1" s="1"/>
        <i x="5" s="1"/>
        <i x="6" s="1"/>
        <i x="4"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 xr10:uid="{F504649D-4FD2-834A-9BED-8FCC838973EF}" cache="Slicer_Room_Type" caption="Room Type" rowHeight="230716"/>
  <slicer name="Booking_Source" xr10:uid="{366442FA-B4A4-D843-92C4-7802924B2177}" cache="Slicer_Booking_Source" caption="Booking Source" rowHeight="230716"/>
  <slicer name="Payment_Status 1" xr10:uid="{9F6E43D0-4AB8-F049-A8DE-8BC452AD0658}" cache="Slicer_Payment_Status" caption="Payment Status" rowHeight="230716"/>
  <slicer name="Guest_Country" xr10:uid="{C316F61D-680B-7D40-AF6D-85A2B8AB8F1D}" cache="Slicer_Guest_Country" caption="Guest Country" startItem="1" rowHeight="230716"/>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DictionaryTable" displayName="DataDictionaryTable" ref="A3:D17">
  <tableColumns count="4">
    <tableColumn id="1" xr3:uid="{00000000-0010-0000-0100-000001000000}" name="Column"/>
    <tableColumn id="2" xr3:uid="{00000000-0010-0000-0100-000002000000}" name="Meaning"/>
    <tableColumn id="3" xr3:uid="{00000000-0010-0000-0100-000003000000}" name="Expected Type"/>
    <tableColumn id="4" xr3:uid="{00000000-0010-0000-0100-000004000000}" name="Examp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MotelData" displayName="RawMotelData" ref="A1:N124">
  <tableColumns count="14">
    <tableColumn id="1" xr3:uid="{00000000-0010-0000-0000-000001000000}" name="Booking_ID"/>
    <tableColumn id="2" xr3:uid="{00000000-0010-0000-0000-000002000000}" name="Booking_Date"/>
    <tableColumn id="3" xr3:uid="{00000000-0010-0000-0000-000003000000}" name="Check_In_Date"/>
    <tableColumn id="4" xr3:uid="{00000000-0010-0000-0000-000004000000}" name="Check_Out_Date"/>
    <tableColumn id="5" xr3:uid="{00000000-0010-0000-0000-000005000000}" name="Room_Number"/>
    <tableColumn id="6" xr3:uid="{00000000-0010-0000-0000-000006000000}" name="Room_Type"/>
    <tableColumn id="7" xr3:uid="{00000000-0010-0000-0000-000007000000}" name="Booking_Source"/>
    <tableColumn id="8" xr3:uid="{00000000-0010-0000-0000-000008000000}" name="Guest_Country"/>
    <tableColumn id="9" xr3:uid="{00000000-0010-0000-0000-000009000000}" name="Adults"/>
    <tableColumn id="10" xr3:uid="{00000000-0010-0000-0000-00000A000000}" name="Nightly_Rate_GBP"/>
    <tableColumn id="11" xr3:uid="{00000000-0010-0000-0000-00000B000000}" name="Resort_Fee_GBP"/>
    <tableColumn id="12" xr3:uid="{00000000-0010-0000-0000-00000C000000}" name="Booking_Status"/>
    <tableColumn id="13" xr3:uid="{00000000-0010-0000-0000-00000D000000}" name="Payment_Status"/>
    <tableColumn id="14" xr3:uid="{00000000-0010-0000-0000-00000E000000}" name="Guest_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CFCB68-325E-C94D-B32E-009736C3EFD8}" name="Cleaned_Motel_Data" displayName="Cleaned_Motel_Data" ref="A1:P121" tableType="queryTable" totalsRowShown="0">
  <autoFilter ref="A1:P121" xr:uid="{7FCFCB68-325E-C94D-B32E-009736C3EFD8}"/>
  <sortState xmlns:xlrd2="http://schemas.microsoft.com/office/spreadsheetml/2017/richdata2" ref="A2:P121">
    <sortCondition descending="1" ref="P1:P121"/>
  </sortState>
  <tableColumns count="16">
    <tableColumn id="1" xr3:uid="{9C640707-0896-2C4E-B912-C7198DB41FE0}" uniqueName="1" name="Booking_ID" queryTableFieldId="1" dataDxfId="13"/>
    <tableColumn id="2" xr3:uid="{0FAAFBDC-A5C3-B046-ADA3-A32F27508627}" uniqueName="2" name="Check_In_Date" queryTableFieldId="2" dataDxfId="12"/>
    <tableColumn id="3" xr3:uid="{1327C52C-4C75-2F40-9C92-8BDE6E91562A}" uniqueName="3" name="Room_Number" queryTableFieldId="3"/>
    <tableColumn id="4" xr3:uid="{C2DA5368-656F-8A41-B48D-994442019022}" uniqueName="4" name="Room_Type" queryTableFieldId="4" dataDxfId="11"/>
    <tableColumn id="5" xr3:uid="{72C50A22-907A-FE41-BCB6-44B6648C6E36}" uniqueName="5" name="Booking_Source" queryTableFieldId="5" dataDxfId="10"/>
    <tableColumn id="6" xr3:uid="{2C0CC303-2AC9-7A47-8AA2-87A358429F1C}" uniqueName="6" name="Guest_Country" queryTableFieldId="6" dataDxfId="9"/>
    <tableColumn id="7" xr3:uid="{71F1C394-3459-9E4D-92A8-C6F7F33105C6}" uniqueName="7" name="Adults" queryTableFieldId="7"/>
    <tableColumn id="8" xr3:uid="{A15659F9-EA1C-A14A-A24D-0390AE6E5F7D}" uniqueName="8" name="Nightly_Rate_GBP" queryTableFieldId="8"/>
    <tableColumn id="9" xr3:uid="{E11B8B6A-FBB4-264A-90F3-C0ED4E8C0F2A}" uniqueName="9" name="Resort_Fee_GBP" queryTableFieldId="9"/>
    <tableColumn id="10" xr3:uid="{08EA0F62-AA93-504E-96BE-DAB8DD2B70A3}" uniqueName="10" name="Booking_Status" queryTableFieldId="10" dataDxfId="8"/>
    <tableColumn id="11" xr3:uid="{88B9A17A-26D0-E24F-BB8B-14B648B5A5B0}" uniqueName="11" name="Payment_Status" queryTableFieldId="11" dataDxfId="7"/>
    <tableColumn id="12" xr3:uid="{360CD0D5-1EB7-C14D-A1CA-67140092B2FC}" uniqueName="12" name="Guest_Rating" queryTableFieldId="12"/>
    <tableColumn id="13" xr3:uid="{761F14A1-7736-5C44-806F-446F6EADA4B0}" uniqueName="13" name="Booking_Date" queryTableFieldId="13" dataDxfId="6"/>
    <tableColumn id="14" xr3:uid="{53076616-DBED-A34A-B53E-7FCD8A40876A}" uniqueName="14" name="Check_Out_Date" queryTableFieldId="14" dataDxfId="5"/>
    <tableColumn id="15" xr3:uid="{1AAB83D4-35F6-3A49-83D8-C375F5B7E30B}" uniqueName="15" name="Nights" queryTableFieldId="15"/>
    <tableColumn id="16" xr3:uid="{8C363382-BC03-E346-AA17-2746F4E84D68}" uniqueName="16" name="Estimated_Revenue_GBP"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91E32E-1F1C-5241-985E-46C1C890004C}" name="Table7" displayName="Table7" ref="A3:P31" totalsRowShown="0">
  <autoFilter ref="A3:P31" xr:uid="{9F91E32E-1F1C-5241-985E-46C1C890004C}"/>
  <tableColumns count="16">
    <tableColumn id="1" xr3:uid="{FE84019B-EC35-3D4B-941C-451B41A8859B}" name="Booking_ID"/>
    <tableColumn id="2" xr3:uid="{25B7B310-6F32-AF4A-A94C-857BA435DDB1}" name="Check_In_Date" dataDxfId="16"/>
    <tableColumn id="3" xr3:uid="{AC56E5B3-665B-344B-A650-44EFF7F77DAA}" name="Room_Number"/>
    <tableColumn id="4" xr3:uid="{F41F763D-F72A-7640-8193-222139A13D52}" name="Room_Type"/>
    <tableColumn id="5" xr3:uid="{8BC80606-823F-3E43-8E3E-85F358B09972}" name="Booking_Source"/>
    <tableColumn id="6" xr3:uid="{89D9307C-2EF2-C54A-B208-5198C53D6241}" name="Guest_Country"/>
    <tableColumn id="7" xr3:uid="{96925584-97E8-B642-9FCC-D4A840142344}" name="Adults"/>
    <tableColumn id="8" xr3:uid="{36EA7AD6-BF84-7F4C-A34E-8AABBA88F834}" name="Nightly_Rate_GBP"/>
    <tableColumn id="9" xr3:uid="{C7C6643F-8675-D449-BDEF-7394CF2AB75A}" name="Resort_Fee_GBP"/>
    <tableColumn id="10" xr3:uid="{2CF23607-EEAE-3D4D-B67D-45991345ABD2}" name="Booking_Status"/>
    <tableColumn id="11" xr3:uid="{D283C1E7-4EF5-3C4A-A689-BDDB111F38BA}" name="Payment_Status"/>
    <tableColumn id="12" xr3:uid="{F8764B41-B5EA-4543-B5D0-87EAD3874741}" name="Guest_Rating"/>
    <tableColumn id="13" xr3:uid="{CC6E2F41-C48C-6843-9EC3-08A79BD2CACF}" name="Booking_Date" dataDxfId="15"/>
    <tableColumn id="14" xr3:uid="{EB96F629-4F73-4143-9AD3-BE52059CE574}" name="Check_Out_Date" dataDxfId="14"/>
    <tableColumn id="15" xr3:uid="{608B52E7-01BA-F64C-A011-380B9141335B}" name="Nights"/>
    <tableColumn id="16" xr3:uid="{C1AA6465-E297-4B46-9A07-AB921BA2AC30}" name="Estimated_Revenue_GB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30684449-0B0D-D045-98C0-D06CA65434C6}" sourceName="Check_In_Date">
  <pivotTables>
    <pivotTable tabId="10" name="PivotTable4"/>
    <pivotTable tabId="8" name="PivotTable2"/>
    <pivotTable tabId="9" name="PivotTable3"/>
    <pivotTable tabId="11" name="PivotTable5"/>
    <pivotTable tabId="7" name="PivotTable1"/>
    <pivotTable tabId="16" name="PivotTable10"/>
    <pivotTable tabId="16" name="PivotTable6"/>
    <pivotTable tabId="16" name="PivotTable7"/>
    <pivotTable tabId="16" name="PivotTable8"/>
    <pivotTable tabId="16" name="PivotTable9"/>
  </pivotTables>
  <state minimalRefreshVersion="6" lastRefreshVersion="6" pivotCacheId="198397004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_In_Date 1" xr10:uid="{0F926C65-7F5D-194F-BB3C-C793D4893AE8}" cache="NativeTimeline_Check_In_Date" caption="Check-In Date" level="2" selectionLevel="2" scrollPosition="2025-04-0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_In_Date" xr10:uid="{82061E97-BC31-A548-B342-98F1772AF809}" cache="NativeTimeline_Check_In_Date" caption="Check_In_Date" level="2" selectionLevel="2" scrollPosition="2025-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election activeCell="G15" sqref="G15"/>
    </sheetView>
  </sheetViews>
  <sheetFormatPr baseColWidth="10" defaultColWidth="8.83203125" defaultRowHeight="14"/>
  <cols>
    <col min="1" max="1" width="22" customWidth="1"/>
    <col min="2" max="2" width="38" customWidth="1"/>
    <col min="3" max="3" width="22" customWidth="1"/>
    <col min="4" max="4" width="20" customWidth="1"/>
  </cols>
  <sheetData>
    <row r="1" spans="1:4" ht="40" customHeight="1">
      <c r="A1" s="38" t="s">
        <v>167</v>
      </c>
      <c r="B1" s="38"/>
      <c r="C1" s="38"/>
      <c r="D1" s="38"/>
    </row>
    <row r="3" spans="1:4" ht="16">
      <c r="A3" s="1" t="s">
        <v>168</v>
      </c>
      <c r="B3" s="1" t="s">
        <v>169</v>
      </c>
      <c r="C3" s="1" t="s">
        <v>170</v>
      </c>
      <c r="D3" s="1" t="s">
        <v>171</v>
      </c>
    </row>
    <row r="4" spans="1:4" ht="15">
      <c r="A4" s="5" t="s">
        <v>0</v>
      </c>
      <c r="B4" s="5" t="s">
        <v>172</v>
      </c>
      <c r="C4" s="5" t="s">
        <v>173</v>
      </c>
      <c r="D4" s="5" t="s">
        <v>14</v>
      </c>
    </row>
    <row r="5" spans="1:4" ht="15">
      <c r="A5" s="5" t="s">
        <v>1</v>
      </c>
      <c r="B5" s="5" t="s">
        <v>174</v>
      </c>
      <c r="C5" s="5" t="s">
        <v>175</v>
      </c>
      <c r="D5" s="5" t="s">
        <v>176</v>
      </c>
    </row>
    <row r="6" spans="1:4" ht="15">
      <c r="A6" s="5" t="s">
        <v>2</v>
      </c>
      <c r="B6" s="5" t="s">
        <v>177</v>
      </c>
      <c r="C6" s="5" t="s">
        <v>175</v>
      </c>
      <c r="D6" s="5" t="s">
        <v>178</v>
      </c>
    </row>
    <row r="7" spans="1:4" ht="15">
      <c r="A7" s="5" t="s">
        <v>3</v>
      </c>
      <c r="B7" s="5" t="s">
        <v>179</v>
      </c>
      <c r="C7" s="5" t="s">
        <v>175</v>
      </c>
      <c r="D7" s="5" t="s">
        <v>180</v>
      </c>
    </row>
    <row r="8" spans="1:4" ht="15">
      <c r="A8" s="5" t="s">
        <v>4</v>
      </c>
      <c r="B8" s="5" t="s">
        <v>181</v>
      </c>
      <c r="C8" s="5" t="s">
        <v>182</v>
      </c>
      <c r="D8" s="5" t="s">
        <v>183</v>
      </c>
    </row>
    <row r="9" spans="1:4" ht="15">
      <c r="A9" s="5" t="s">
        <v>5</v>
      </c>
      <c r="B9" s="5" t="s">
        <v>184</v>
      </c>
      <c r="C9" s="5" t="s">
        <v>185</v>
      </c>
      <c r="D9" s="5" t="s">
        <v>43</v>
      </c>
    </row>
    <row r="10" spans="1:4" ht="15">
      <c r="A10" s="5" t="s">
        <v>6</v>
      </c>
      <c r="B10" s="5" t="s">
        <v>186</v>
      </c>
      <c r="C10" s="5" t="s">
        <v>185</v>
      </c>
      <c r="D10" s="5" t="s">
        <v>16</v>
      </c>
    </row>
    <row r="11" spans="1:4" ht="15">
      <c r="A11" s="5" t="s">
        <v>7</v>
      </c>
      <c r="B11" s="5" t="s">
        <v>187</v>
      </c>
      <c r="C11" s="5" t="s">
        <v>185</v>
      </c>
      <c r="D11" s="5" t="s">
        <v>46</v>
      </c>
    </row>
    <row r="12" spans="1:4" ht="15">
      <c r="A12" s="5" t="s">
        <v>8</v>
      </c>
      <c r="B12" s="5" t="s">
        <v>188</v>
      </c>
      <c r="C12" s="5" t="s">
        <v>182</v>
      </c>
      <c r="D12" s="5" t="s">
        <v>189</v>
      </c>
    </row>
    <row r="13" spans="1:4" ht="15">
      <c r="A13" s="5" t="s">
        <v>9</v>
      </c>
      <c r="B13" s="5" t="s">
        <v>190</v>
      </c>
      <c r="C13" s="5" t="s">
        <v>191</v>
      </c>
      <c r="D13" s="5" t="s">
        <v>192</v>
      </c>
    </row>
    <row r="14" spans="1:4" ht="15">
      <c r="A14" s="5" t="s">
        <v>10</v>
      </c>
      <c r="B14" s="5" t="s">
        <v>193</v>
      </c>
      <c r="C14" s="5" t="s">
        <v>191</v>
      </c>
      <c r="D14" s="5" t="s">
        <v>194</v>
      </c>
    </row>
    <row r="15" spans="1:4" ht="15">
      <c r="A15" s="5" t="s">
        <v>11</v>
      </c>
      <c r="B15" s="5" t="s">
        <v>195</v>
      </c>
      <c r="C15" s="5" t="s">
        <v>185</v>
      </c>
      <c r="D15" s="5" t="s">
        <v>18</v>
      </c>
    </row>
    <row r="16" spans="1:4" ht="15">
      <c r="A16" s="5" t="s">
        <v>12</v>
      </c>
      <c r="B16" s="5" t="s">
        <v>196</v>
      </c>
      <c r="C16" s="5" t="s">
        <v>185</v>
      </c>
      <c r="D16" s="5" t="s">
        <v>19</v>
      </c>
    </row>
    <row r="17" spans="1:4" ht="15">
      <c r="A17" s="5" t="s">
        <v>13</v>
      </c>
      <c r="B17" s="5" t="s">
        <v>197</v>
      </c>
      <c r="C17" s="5" t="s">
        <v>198</v>
      </c>
      <c r="D17" s="5" t="s">
        <v>199</v>
      </c>
    </row>
    <row r="19" spans="1:4" ht="14" customHeight="1"/>
    <row r="20" spans="1:4" ht="14" customHeight="1">
      <c r="A20" s="39"/>
    </row>
  </sheetData>
  <mergeCells count="1">
    <mergeCell ref="A1:D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4"/>
  <sheetViews>
    <sheetView topLeftCell="B1" workbookViewId="0">
      <selection activeCell="D7" sqref="D7"/>
    </sheetView>
  </sheetViews>
  <sheetFormatPr baseColWidth="10" defaultColWidth="8.83203125" defaultRowHeight="14"/>
  <cols>
    <col min="1" max="1" width="14" customWidth="1"/>
    <col min="2" max="4" width="15" customWidth="1"/>
    <col min="5" max="5" width="13" customWidth="1"/>
    <col min="6" max="6" width="14" customWidth="1"/>
    <col min="7" max="7" width="17" customWidth="1"/>
    <col min="8" max="8" width="18" customWidth="1"/>
    <col min="9" max="9" width="10" customWidth="1"/>
    <col min="10" max="11" width="18" customWidth="1"/>
    <col min="12" max="13" width="16" customWidth="1"/>
    <col min="14" max="14" width="14" customWidth="1"/>
  </cols>
  <sheetData>
    <row r="1" spans="1:14" ht="45.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45988</v>
      </c>
      <c r="C2" s="2">
        <v>45990</v>
      </c>
      <c r="D2" s="2">
        <v>45991</v>
      </c>
      <c r="E2">
        <v>118</v>
      </c>
      <c r="F2" t="s">
        <v>15</v>
      </c>
      <c r="G2" t="s">
        <v>16</v>
      </c>
      <c r="H2" t="s">
        <v>17</v>
      </c>
      <c r="I2">
        <v>4</v>
      </c>
      <c r="J2" s="3">
        <v>98.07</v>
      </c>
      <c r="K2" s="3">
        <v>8.5</v>
      </c>
      <c r="L2" t="s">
        <v>18</v>
      </c>
      <c r="M2" t="s">
        <v>19</v>
      </c>
      <c r="N2" s="4">
        <v>5</v>
      </c>
    </row>
    <row r="3" spans="1:14">
      <c r="A3" t="s">
        <v>20</v>
      </c>
      <c r="B3" s="2">
        <v>45877</v>
      </c>
      <c r="C3" s="2">
        <v>45879</v>
      </c>
      <c r="D3" s="2">
        <v>45880</v>
      </c>
      <c r="E3">
        <v>106</v>
      </c>
      <c r="F3" t="s">
        <v>15</v>
      </c>
      <c r="G3" t="s">
        <v>16</v>
      </c>
      <c r="H3" t="s">
        <v>21</v>
      </c>
      <c r="I3">
        <v>3</v>
      </c>
      <c r="J3" s="3">
        <v>95.8</v>
      </c>
      <c r="K3" s="3">
        <v>8.5</v>
      </c>
      <c r="L3" t="s">
        <v>18</v>
      </c>
      <c r="M3" t="s">
        <v>19</v>
      </c>
      <c r="N3" s="4">
        <v>5</v>
      </c>
    </row>
    <row r="4" spans="1:14">
      <c r="A4" t="s">
        <v>22</v>
      </c>
      <c r="B4" s="2">
        <v>45848</v>
      </c>
      <c r="C4" s="2">
        <v>45877</v>
      </c>
      <c r="D4" s="2">
        <v>45879</v>
      </c>
      <c r="E4">
        <v>218</v>
      </c>
      <c r="F4" t="s">
        <v>23</v>
      </c>
      <c r="G4" t="s">
        <v>24</v>
      </c>
      <c r="H4" t="s">
        <v>25</v>
      </c>
      <c r="I4">
        <v>2</v>
      </c>
      <c r="J4" s="3">
        <v>134.43</v>
      </c>
      <c r="K4" s="3">
        <v>8.5</v>
      </c>
      <c r="L4" t="s">
        <v>18</v>
      </c>
      <c r="M4" t="s">
        <v>19</v>
      </c>
      <c r="N4" s="4">
        <v>4</v>
      </c>
    </row>
    <row r="5" spans="1:14">
      <c r="A5" t="s">
        <v>26</v>
      </c>
      <c r="B5" s="2">
        <v>45690</v>
      </c>
      <c r="C5" s="2">
        <v>45715</v>
      </c>
      <c r="D5" s="2">
        <v>45716</v>
      </c>
      <c r="E5">
        <v>107</v>
      </c>
      <c r="F5" t="s">
        <v>23</v>
      </c>
      <c r="G5" t="s">
        <v>27</v>
      </c>
      <c r="H5" t="s">
        <v>21</v>
      </c>
      <c r="I5">
        <v>2</v>
      </c>
      <c r="J5" s="3">
        <v>138.25</v>
      </c>
      <c r="K5" s="3">
        <v>8.5</v>
      </c>
      <c r="L5" t="s">
        <v>18</v>
      </c>
      <c r="M5" t="s">
        <v>19</v>
      </c>
      <c r="N5" s="4">
        <v>4</v>
      </c>
    </row>
    <row r="6" spans="1:14">
      <c r="A6" t="s">
        <v>28</v>
      </c>
      <c r="B6" s="2">
        <v>45684</v>
      </c>
      <c r="C6" s="2">
        <v>45703</v>
      </c>
      <c r="D6" s="2">
        <v>45708</v>
      </c>
      <c r="E6">
        <v>220</v>
      </c>
      <c r="F6" t="s">
        <v>23</v>
      </c>
      <c r="G6" t="s">
        <v>16</v>
      </c>
      <c r="H6" t="s">
        <v>29</v>
      </c>
      <c r="I6">
        <v>1</v>
      </c>
      <c r="J6" s="3">
        <v>111.6</v>
      </c>
      <c r="K6" s="3">
        <v>8.5</v>
      </c>
      <c r="L6" t="s">
        <v>18</v>
      </c>
      <c r="M6" t="s">
        <v>19</v>
      </c>
      <c r="N6" s="4">
        <v>3</v>
      </c>
    </row>
    <row r="7" spans="1:14">
      <c r="A7" t="s">
        <v>30</v>
      </c>
      <c r="B7" s="2">
        <v>45757</v>
      </c>
      <c r="C7" s="2">
        <v>45782</v>
      </c>
      <c r="D7" s="2">
        <v>45783</v>
      </c>
      <c r="E7">
        <v>118</v>
      </c>
      <c r="F7" t="s">
        <v>31</v>
      </c>
      <c r="G7" t="s">
        <v>27</v>
      </c>
      <c r="H7" t="s">
        <v>17</v>
      </c>
      <c r="I7">
        <v>2</v>
      </c>
      <c r="J7" s="3">
        <v>95.66</v>
      </c>
      <c r="K7" s="3">
        <v>8.5</v>
      </c>
      <c r="L7" t="s">
        <v>18</v>
      </c>
      <c r="M7" t="s">
        <v>19</v>
      </c>
      <c r="N7" s="4">
        <v>5</v>
      </c>
    </row>
    <row r="8" spans="1:14">
      <c r="A8" t="s">
        <v>32</v>
      </c>
      <c r="B8" s="2">
        <v>45955</v>
      </c>
      <c r="C8" s="2">
        <v>45994</v>
      </c>
      <c r="D8" s="2">
        <v>45995</v>
      </c>
      <c r="E8">
        <v>111</v>
      </c>
      <c r="F8" t="s">
        <v>15</v>
      </c>
      <c r="G8" t="s">
        <v>16</v>
      </c>
      <c r="H8" t="s">
        <v>33</v>
      </c>
      <c r="I8">
        <v>2</v>
      </c>
      <c r="J8" s="3">
        <v>103.1</v>
      </c>
      <c r="K8" s="3">
        <v>8.5</v>
      </c>
      <c r="L8" t="s">
        <v>34</v>
      </c>
      <c r="M8" t="s">
        <v>35</v>
      </c>
      <c r="N8" s="4"/>
    </row>
    <row r="9" spans="1:14">
      <c r="A9" t="s">
        <v>36</v>
      </c>
      <c r="B9" s="2">
        <v>45959</v>
      </c>
      <c r="C9" s="2">
        <v>46013</v>
      </c>
      <c r="D9" s="2">
        <v>46016</v>
      </c>
      <c r="E9">
        <v>104</v>
      </c>
      <c r="G9" t="s">
        <v>24</v>
      </c>
      <c r="H9" t="s">
        <v>25</v>
      </c>
      <c r="I9">
        <v>2</v>
      </c>
      <c r="J9" s="3">
        <v>107.03</v>
      </c>
      <c r="K9" s="3">
        <v>8.5</v>
      </c>
      <c r="L9" t="s">
        <v>18</v>
      </c>
      <c r="M9" t="s">
        <v>19</v>
      </c>
      <c r="N9" s="4">
        <v>5</v>
      </c>
    </row>
    <row r="10" spans="1:14">
      <c r="A10" t="s">
        <v>37</v>
      </c>
      <c r="B10" s="2">
        <v>45782</v>
      </c>
      <c r="C10" s="2">
        <v>45824</v>
      </c>
      <c r="D10" s="2">
        <v>45826</v>
      </c>
      <c r="E10">
        <v>212</v>
      </c>
      <c r="F10" t="s">
        <v>38</v>
      </c>
      <c r="G10" t="s">
        <v>39</v>
      </c>
      <c r="H10" t="s">
        <v>17</v>
      </c>
      <c r="I10">
        <v>2</v>
      </c>
      <c r="J10" s="3">
        <v>89.19</v>
      </c>
      <c r="K10" s="3">
        <v>8.5</v>
      </c>
      <c r="L10" t="s">
        <v>18</v>
      </c>
      <c r="M10" t="s">
        <v>19</v>
      </c>
      <c r="N10" s="4">
        <v>5</v>
      </c>
    </row>
    <row r="11" spans="1:14">
      <c r="A11" t="s">
        <v>40</v>
      </c>
      <c r="B11" s="2">
        <v>45904</v>
      </c>
      <c r="C11" s="2">
        <v>45962</v>
      </c>
      <c r="D11" s="2">
        <v>45966</v>
      </c>
      <c r="E11">
        <v>218</v>
      </c>
      <c r="F11" t="s">
        <v>38</v>
      </c>
      <c r="G11" t="s">
        <v>41</v>
      </c>
      <c r="H11" t="s">
        <v>17</v>
      </c>
      <c r="I11">
        <v>2</v>
      </c>
      <c r="J11" s="3">
        <v>100.29</v>
      </c>
      <c r="K11" s="3">
        <v>8.5</v>
      </c>
      <c r="L11" t="s">
        <v>18</v>
      </c>
      <c r="M11" t="s">
        <v>19</v>
      </c>
      <c r="N11" s="4">
        <v>3</v>
      </c>
    </row>
    <row r="12" spans="1:14">
      <c r="A12" t="s">
        <v>42</v>
      </c>
      <c r="B12" s="2">
        <v>45690</v>
      </c>
      <c r="C12" s="2">
        <v>45741</v>
      </c>
      <c r="D12" s="2">
        <v>45743</v>
      </c>
      <c r="E12">
        <v>208</v>
      </c>
      <c r="F12" t="s">
        <v>43</v>
      </c>
      <c r="G12" t="s">
        <v>39</v>
      </c>
      <c r="H12" t="s">
        <v>33</v>
      </c>
      <c r="I12">
        <v>3</v>
      </c>
      <c r="J12" s="3">
        <v>94.9</v>
      </c>
      <c r="K12" s="3">
        <v>8.5</v>
      </c>
      <c r="L12" t="s">
        <v>18</v>
      </c>
      <c r="M12" t="s">
        <v>44</v>
      </c>
      <c r="N12" s="4">
        <v>3</v>
      </c>
    </row>
    <row r="13" spans="1:14">
      <c r="A13" t="s">
        <v>45</v>
      </c>
      <c r="B13" s="2">
        <v>45967</v>
      </c>
      <c r="C13" s="2">
        <v>46011</v>
      </c>
      <c r="D13" s="2">
        <v>46012</v>
      </c>
      <c r="E13">
        <v>215</v>
      </c>
      <c r="F13" t="s">
        <v>23</v>
      </c>
      <c r="G13" t="s">
        <v>27</v>
      </c>
      <c r="H13" t="s">
        <v>46</v>
      </c>
      <c r="I13">
        <v>2</v>
      </c>
      <c r="J13" s="3">
        <v>125.22</v>
      </c>
      <c r="K13" s="3">
        <v>8.5</v>
      </c>
      <c r="L13" t="s">
        <v>47</v>
      </c>
      <c r="M13" t="s">
        <v>44</v>
      </c>
      <c r="N13" s="4">
        <v>5</v>
      </c>
    </row>
    <row r="14" spans="1:14">
      <c r="A14" t="s">
        <v>48</v>
      </c>
      <c r="B14" s="2">
        <v>45748</v>
      </c>
      <c r="C14" s="2">
        <v>45797</v>
      </c>
      <c r="D14" s="2">
        <v>45802</v>
      </c>
      <c r="E14">
        <v>112</v>
      </c>
      <c r="F14" t="s">
        <v>43</v>
      </c>
      <c r="H14" t="s">
        <v>25</v>
      </c>
      <c r="I14">
        <v>4</v>
      </c>
      <c r="J14" s="3">
        <v>82.69</v>
      </c>
      <c r="K14" s="3">
        <v>8.5</v>
      </c>
      <c r="L14" t="s">
        <v>18</v>
      </c>
      <c r="M14" t="s">
        <v>19</v>
      </c>
      <c r="N14" s="4">
        <v>4</v>
      </c>
    </row>
    <row r="15" spans="1:14">
      <c r="A15" t="s">
        <v>49</v>
      </c>
      <c r="B15" s="2">
        <v>45880</v>
      </c>
      <c r="C15" s="2">
        <v>45939</v>
      </c>
      <c r="D15" s="2">
        <v>45944</v>
      </c>
      <c r="E15">
        <v>101</v>
      </c>
      <c r="F15" t="s">
        <v>23</v>
      </c>
      <c r="G15" t="s">
        <v>39</v>
      </c>
      <c r="H15" t="s">
        <v>46</v>
      </c>
      <c r="I15">
        <v>1</v>
      </c>
      <c r="J15" s="3">
        <v>142.52000000000001</v>
      </c>
      <c r="K15" s="3">
        <v>8.5</v>
      </c>
      <c r="L15" t="s">
        <v>34</v>
      </c>
      <c r="M15" t="s">
        <v>44</v>
      </c>
      <c r="N15" s="4"/>
    </row>
    <row r="16" spans="1:14">
      <c r="A16" t="s">
        <v>50</v>
      </c>
      <c r="B16" s="2">
        <v>45769</v>
      </c>
      <c r="C16" s="2">
        <v>45785</v>
      </c>
      <c r="D16" s="2">
        <v>45786</v>
      </c>
      <c r="E16">
        <v>217</v>
      </c>
      <c r="F16" t="s">
        <v>43</v>
      </c>
      <c r="G16" t="s">
        <v>24</v>
      </c>
      <c r="H16" t="s">
        <v>29</v>
      </c>
      <c r="I16">
        <v>2</v>
      </c>
      <c r="J16" s="3">
        <v>90.4</v>
      </c>
      <c r="K16" s="3">
        <v>8.5</v>
      </c>
      <c r="L16" t="s">
        <v>51</v>
      </c>
      <c r="M16" t="s">
        <v>44</v>
      </c>
      <c r="N16" s="4"/>
    </row>
    <row r="17" spans="1:14">
      <c r="A17" t="s">
        <v>52</v>
      </c>
      <c r="B17" s="2">
        <v>45692</v>
      </c>
      <c r="C17" s="2">
        <v>45728</v>
      </c>
      <c r="D17" s="2">
        <v>45732</v>
      </c>
      <c r="E17">
        <v>111</v>
      </c>
      <c r="F17" t="s">
        <v>23</v>
      </c>
      <c r="G17" t="s">
        <v>39</v>
      </c>
      <c r="H17" t="s">
        <v>17</v>
      </c>
      <c r="I17">
        <v>3</v>
      </c>
      <c r="J17" s="3">
        <v>136.43</v>
      </c>
      <c r="K17" s="3">
        <v>8.5</v>
      </c>
      <c r="L17" t="s">
        <v>18</v>
      </c>
      <c r="M17" t="s">
        <v>19</v>
      </c>
      <c r="N17" s="4">
        <v>4</v>
      </c>
    </row>
    <row r="18" spans="1:14">
      <c r="A18" t="s">
        <v>53</v>
      </c>
      <c r="B18" s="2">
        <v>45977</v>
      </c>
      <c r="C18" s="2">
        <v>46006</v>
      </c>
      <c r="D18" s="2">
        <v>46009</v>
      </c>
      <c r="E18">
        <v>214</v>
      </c>
      <c r="F18" t="s">
        <v>54</v>
      </c>
      <c r="G18" t="s">
        <v>24</v>
      </c>
      <c r="H18" t="s">
        <v>17</v>
      </c>
      <c r="I18">
        <v>2</v>
      </c>
      <c r="J18" s="3">
        <v>86.92</v>
      </c>
      <c r="K18" s="3">
        <v>8.5</v>
      </c>
      <c r="L18" t="s">
        <v>18</v>
      </c>
      <c r="M18" t="s">
        <v>19</v>
      </c>
      <c r="N18" s="4">
        <v>5</v>
      </c>
    </row>
    <row r="19" spans="1:14">
      <c r="A19" t="s">
        <v>55</v>
      </c>
      <c r="B19" s="2">
        <v>45770</v>
      </c>
      <c r="C19" s="2">
        <v>45775</v>
      </c>
      <c r="D19" s="2">
        <v>45776</v>
      </c>
      <c r="E19">
        <v>104</v>
      </c>
      <c r="F19" t="s">
        <v>15</v>
      </c>
      <c r="G19" t="s">
        <v>24</v>
      </c>
      <c r="H19" t="s">
        <v>46</v>
      </c>
      <c r="I19">
        <v>2</v>
      </c>
      <c r="J19" s="3">
        <v>97.13</v>
      </c>
      <c r="K19" s="3">
        <v>8.5</v>
      </c>
      <c r="L19" t="s">
        <v>18</v>
      </c>
      <c r="M19" t="s">
        <v>19</v>
      </c>
      <c r="N19" s="4">
        <v>4</v>
      </c>
    </row>
    <row r="20" spans="1:14">
      <c r="A20" t="s">
        <v>56</v>
      </c>
      <c r="B20" s="2">
        <v>45892</v>
      </c>
      <c r="C20" s="2">
        <v>45939</v>
      </c>
      <c r="D20" s="2">
        <v>45941</v>
      </c>
      <c r="E20">
        <v>217</v>
      </c>
      <c r="F20" t="s">
        <v>38</v>
      </c>
      <c r="G20" t="s">
        <v>16</v>
      </c>
      <c r="I20">
        <v>2</v>
      </c>
      <c r="J20" s="3">
        <v>109.22</v>
      </c>
      <c r="K20" s="3">
        <v>8.5</v>
      </c>
      <c r="L20" t="s">
        <v>18</v>
      </c>
      <c r="M20" t="s">
        <v>19</v>
      </c>
      <c r="N20" s="4">
        <v>4</v>
      </c>
    </row>
    <row r="21" spans="1:14">
      <c r="A21" t="s">
        <v>57</v>
      </c>
      <c r="B21" s="2">
        <v>45817</v>
      </c>
      <c r="C21" s="2">
        <v>45844</v>
      </c>
      <c r="D21" s="2">
        <v>45848</v>
      </c>
      <c r="E21">
        <v>210</v>
      </c>
      <c r="F21" t="s">
        <v>43</v>
      </c>
      <c r="G21" t="s">
        <v>24</v>
      </c>
      <c r="H21" t="s">
        <v>46</v>
      </c>
      <c r="I21">
        <v>2</v>
      </c>
      <c r="J21" s="3">
        <v>88.21</v>
      </c>
      <c r="K21" s="3">
        <v>8.5</v>
      </c>
      <c r="L21" t="s">
        <v>34</v>
      </c>
      <c r="M21" t="s">
        <v>35</v>
      </c>
      <c r="N21" s="4"/>
    </row>
    <row r="22" spans="1:14">
      <c r="A22" t="s">
        <v>58</v>
      </c>
      <c r="B22" s="2">
        <v>45777</v>
      </c>
      <c r="C22" s="2">
        <v>45790</v>
      </c>
      <c r="D22" s="2">
        <v>45792</v>
      </c>
      <c r="E22">
        <v>215</v>
      </c>
      <c r="F22" t="s">
        <v>38</v>
      </c>
      <c r="G22" t="s">
        <v>16</v>
      </c>
      <c r="H22" t="s">
        <v>33</v>
      </c>
      <c r="I22">
        <v>2</v>
      </c>
      <c r="J22" s="3">
        <v>93.36</v>
      </c>
      <c r="K22" s="3">
        <v>8.5</v>
      </c>
      <c r="L22" t="s">
        <v>18</v>
      </c>
      <c r="M22" t="s">
        <v>59</v>
      </c>
      <c r="N22" s="4">
        <v>4</v>
      </c>
    </row>
    <row r="23" spans="1:14">
      <c r="A23" t="s">
        <v>60</v>
      </c>
      <c r="B23" s="2">
        <v>45940</v>
      </c>
      <c r="C23" s="2">
        <v>45944</v>
      </c>
      <c r="D23" s="2">
        <v>45945</v>
      </c>
      <c r="E23">
        <v>215</v>
      </c>
      <c r="F23" t="s">
        <v>43</v>
      </c>
      <c r="G23" t="s">
        <v>24</v>
      </c>
      <c r="H23" t="s">
        <v>25</v>
      </c>
      <c r="I23">
        <v>2</v>
      </c>
      <c r="J23" s="3">
        <v>74.16</v>
      </c>
      <c r="K23" s="3">
        <v>8.5</v>
      </c>
      <c r="L23" t="s">
        <v>18</v>
      </c>
      <c r="M23" t="s">
        <v>19</v>
      </c>
      <c r="N23" s="4">
        <v>4</v>
      </c>
    </row>
    <row r="24" spans="1:14">
      <c r="A24" t="s">
        <v>61</v>
      </c>
      <c r="B24" s="2">
        <v>45668</v>
      </c>
      <c r="C24" s="2">
        <v>45693</v>
      </c>
      <c r="D24" s="2">
        <v>45695</v>
      </c>
      <c r="E24">
        <v>101</v>
      </c>
      <c r="F24" t="s">
        <v>38</v>
      </c>
      <c r="G24" t="s">
        <v>27</v>
      </c>
      <c r="H24" t="s">
        <v>25</v>
      </c>
      <c r="I24">
        <v>2</v>
      </c>
      <c r="J24" s="3"/>
      <c r="K24" s="3">
        <v>8.5</v>
      </c>
      <c r="L24" t="s">
        <v>18</v>
      </c>
      <c r="M24" t="s">
        <v>19</v>
      </c>
      <c r="N24" s="4">
        <v>5</v>
      </c>
    </row>
    <row r="25" spans="1:14">
      <c r="A25" t="s">
        <v>62</v>
      </c>
      <c r="B25" s="2">
        <v>45991</v>
      </c>
      <c r="C25" s="2">
        <v>46001</v>
      </c>
      <c r="D25" s="2">
        <v>46005</v>
      </c>
      <c r="E25">
        <v>113</v>
      </c>
      <c r="F25" t="s">
        <v>23</v>
      </c>
      <c r="G25" t="s">
        <v>16</v>
      </c>
      <c r="H25" t="s">
        <v>46</v>
      </c>
      <c r="I25">
        <v>3</v>
      </c>
      <c r="J25" s="3">
        <v>135.75</v>
      </c>
      <c r="K25" s="3">
        <v>8.5</v>
      </c>
      <c r="L25" t="s">
        <v>18</v>
      </c>
      <c r="M25" t="s">
        <v>19</v>
      </c>
      <c r="N25" s="4">
        <v>3</v>
      </c>
    </row>
    <row r="26" spans="1:14">
      <c r="A26" t="s">
        <v>63</v>
      </c>
      <c r="B26" s="2">
        <v>45929</v>
      </c>
      <c r="C26" s="2">
        <v>45962</v>
      </c>
      <c r="D26" s="2">
        <v>45966</v>
      </c>
      <c r="E26">
        <v>214</v>
      </c>
      <c r="F26" t="s">
        <v>15</v>
      </c>
      <c r="G26" t="s">
        <v>24</v>
      </c>
      <c r="H26" t="s">
        <v>21</v>
      </c>
      <c r="I26">
        <v>1</v>
      </c>
      <c r="J26" s="3">
        <v>120.54</v>
      </c>
      <c r="K26" s="3">
        <v>8.5</v>
      </c>
      <c r="L26" t="s">
        <v>18</v>
      </c>
      <c r="M26" t="s">
        <v>19</v>
      </c>
      <c r="N26" s="4">
        <v>4</v>
      </c>
    </row>
    <row r="27" spans="1:14">
      <c r="A27" t="s">
        <v>64</v>
      </c>
      <c r="B27" s="2" t="s">
        <v>65</v>
      </c>
      <c r="C27" s="2">
        <v>45869</v>
      </c>
      <c r="D27" s="2">
        <v>45870</v>
      </c>
      <c r="E27">
        <v>217</v>
      </c>
      <c r="F27" t="s">
        <v>15</v>
      </c>
      <c r="G27" t="s">
        <v>24</v>
      </c>
      <c r="H27" t="s">
        <v>21</v>
      </c>
      <c r="I27">
        <v>1</v>
      </c>
      <c r="J27" s="3">
        <v>107.58</v>
      </c>
      <c r="K27" s="3">
        <v>8.5</v>
      </c>
      <c r="L27" t="s">
        <v>18</v>
      </c>
      <c r="M27" t="s">
        <v>19</v>
      </c>
      <c r="N27" s="4">
        <v>4</v>
      </c>
    </row>
    <row r="28" spans="1:14">
      <c r="A28" t="s">
        <v>66</v>
      </c>
      <c r="B28" s="2">
        <v>45751</v>
      </c>
      <c r="C28" s="2">
        <v>45767</v>
      </c>
      <c r="D28" s="2">
        <v>45770</v>
      </c>
      <c r="E28">
        <v>117</v>
      </c>
      <c r="F28" t="s">
        <v>38</v>
      </c>
      <c r="G28" t="s">
        <v>16</v>
      </c>
      <c r="H28" t="s">
        <v>29</v>
      </c>
      <c r="I28">
        <v>4</v>
      </c>
      <c r="J28" s="3">
        <v>94</v>
      </c>
      <c r="K28" s="3">
        <v>8.5</v>
      </c>
      <c r="L28" t="s">
        <v>18</v>
      </c>
      <c r="M28" t="s">
        <v>19</v>
      </c>
      <c r="N28" s="4">
        <v>3</v>
      </c>
    </row>
    <row r="29" spans="1:14">
      <c r="A29" t="s">
        <v>67</v>
      </c>
      <c r="B29" s="2">
        <v>45627</v>
      </c>
      <c r="C29" s="2">
        <v>45667</v>
      </c>
      <c r="D29" s="2">
        <v>45671</v>
      </c>
      <c r="E29">
        <v>217</v>
      </c>
      <c r="F29" t="s">
        <v>43</v>
      </c>
      <c r="G29" t="s">
        <v>24</v>
      </c>
      <c r="H29" t="s">
        <v>21</v>
      </c>
      <c r="I29">
        <v>2</v>
      </c>
      <c r="J29" s="3">
        <v>82.65</v>
      </c>
      <c r="K29" s="3">
        <v>8.5</v>
      </c>
      <c r="L29" t="s">
        <v>18</v>
      </c>
      <c r="M29" t="s">
        <v>19</v>
      </c>
      <c r="N29" s="4">
        <v>3</v>
      </c>
    </row>
    <row r="30" spans="1:14">
      <c r="A30" t="s">
        <v>68</v>
      </c>
      <c r="B30" s="2">
        <v>45769</v>
      </c>
      <c r="C30" s="2">
        <v>45788</v>
      </c>
      <c r="D30" s="2">
        <v>45791</v>
      </c>
      <c r="E30">
        <v>111</v>
      </c>
      <c r="G30" t="s">
        <v>27</v>
      </c>
      <c r="H30" t="s">
        <v>21</v>
      </c>
      <c r="I30">
        <v>4</v>
      </c>
      <c r="J30" s="3">
        <v>100.87</v>
      </c>
      <c r="K30" s="3">
        <v>8.5</v>
      </c>
      <c r="L30" t="s">
        <v>18</v>
      </c>
      <c r="M30" t="s">
        <v>19</v>
      </c>
      <c r="N30" s="4">
        <v>5</v>
      </c>
    </row>
    <row r="31" spans="1:14">
      <c r="A31" t="s">
        <v>69</v>
      </c>
      <c r="B31" s="2">
        <v>45699</v>
      </c>
      <c r="C31" s="2">
        <v>45716</v>
      </c>
      <c r="D31" s="2">
        <v>45718</v>
      </c>
      <c r="E31">
        <v>108</v>
      </c>
      <c r="F31" t="s">
        <v>43</v>
      </c>
      <c r="G31" t="s">
        <v>16</v>
      </c>
      <c r="H31" t="s">
        <v>70</v>
      </c>
      <c r="I31">
        <v>2</v>
      </c>
      <c r="J31" s="3">
        <v>85.12</v>
      </c>
      <c r="K31" s="3">
        <v>8.5</v>
      </c>
      <c r="L31" t="s">
        <v>18</v>
      </c>
      <c r="M31" t="s">
        <v>19</v>
      </c>
      <c r="N31" s="4">
        <v>5</v>
      </c>
    </row>
    <row r="32" spans="1:14">
      <c r="A32" t="s">
        <v>71</v>
      </c>
      <c r="B32" s="2">
        <v>45766</v>
      </c>
      <c r="C32" s="2">
        <v>45798</v>
      </c>
      <c r="D32" s="2">
        <v>45803</v>
      </c>
      <c r="E32">
        <v>117</v>
      </c>
      <c r="F32" t="s">
        <v>43</v>
      </c>
      <c r="G32" t="s">
        <v>24</v>
      </c>
      <c r="H32" t="s">
        <v>29</v>
      </c>
      <c r="I32">
        <v>2</v>
      </c>
      <c r="J32" s="3">
        <v>90.73</v>
      </c>
      <c r="K32" s="3">
        <v>8.5</v>
      </c>
      <c r="L32" t="s">
        <v>18</v>
      </c>
      <c r="M32" t="s">
        <v>19</v>
      </c>
      <c r="N32" s="4">
        <v>4</v>
      </c>
    </row>
    <row r="33" spans="1:14">
      <c r="A33" t="s">
        <v>72</v>
      </c>
      <c r="B33" s="2">
        <v>45978</v>
      </c>
      <c r="C33" s="2">
        <v>45989</v>
      </c>
      <c r="D33" s="2">
        <v>45992</v>
      </c>
      <c r="E33">
        <v>209</v>
      </c>
      <c r="F33" t="s">
        <v>38</v>
      </c>
      <c r="G33" t="s">
        <v>73</v>
      </c>
      <c r="H33" t="s">
        <v>46</v>
      </c>
      <c r="I33">
        <v>1</v>
      </c>
      <c r="J33" s="3">
        <v>113.35</v>
      </c>
      <c r="K33" s="3">
        <v>8.5</v>
      </c>
      <c r="L33" t="s">
        <v>18</v>
      </c>
      <c r="M33" t="s">
        <v>19</v>
      </c>
      <c r="N33" s="4">
        <v>3</v>
      </c>
    </row>
    <row r="34" spans="1:14">
      <c r="A34" t="s">
        <v>74</v>
      </c>
      <c r="B34" s="2">
        <v>45816</v>
      </c>
      <c r="C34" s="2">
        <v>45852</v>
      </c>
      <c r="D34" s="2">
        <v>45857</v>
      </c>
      <c r="E34">
        <v>110</v>
      </c>
      <c r="F34" t="s">
        <v>38</v>
      </c>
      <c r="G34" t="s">
        <v>16</v>
      </c>
      <c r="H34" t="s">
        <v>46</v>
      </c>
      <c r="I34">
        <v>2</v>
      </c>
      <c r="J34" s="3">
        <v>95.94</v>
      </c>
      <c r="K34" s="3">
        <v>8.5</v>
      </c>
      <c r="L34" t="s">
        <v>34</v>
      </c>
      <c r="M34" t="s">
        <v>35</v>
      </c>
      <c r="N34" s="4"/>
    </row>
    <row r="35" spans="1:14">
      <c r="A35" t="s">
        <v>75</v>
      </c>
      <c r="B35" s="2">
        <v>45802</v>
      </c>
      <c r="C35" s="2">
        <v>45846</v>
      </c>
      <c r="D35" s="2">
        <v>45848</v>
      </c>
      <c r="E35">
        <v>116</v>
      </c>
      <c r="F35" t="s">
        <v>43</v>
      </c>
      <c r="G35" t="s">
        <v>27</v>
      </c>
      <c r="H35" t="s">
        <v>25</v>
      </c>
      <c r="I35">
        <v>3</v>
      </c>
      <c r="J35" s="3">
        <v>92.1</v>
      </c>
      <c r="K35" s="3">
        <v>8.5</v>
      </c>
      <c r="L35" t="s">
        <v>18</v>
      </c>
      <c r="M35" t="s">
        <v>19</v>
      </c>
      <c r="N35" s="4">
        <v>4</v>
      </c>
    </row>
    <row r="36" spans="1:14">
      <c r="A36" t="s">
        <v>76</v>
      </c>
      <c r="B36" s="2">
        <v>45732</v>
      </c>
      <c r="C36" s="2">
        <v>45784</v>
      </c>
      <c r="D36" s="2">
        <v>45786</v>
      </c>
      <c r="E36">
        <v>112</v>
      </c>
      <c r="F36" t="s">
        <v>38</v>
      </c>
      <c r="G36" t="s">
        <v>24</v>
      </c>
      <c r="H36" t="s">
        <v>17</v>
      </c>
      <c r="I36">
        <v>4</v>
      </c>
      <c r="J36" s="3">
        <v>112.73</v>
      </c>
      <c r="K36" s="3">
        <v>8.5</v>
      </c>
      <c r="L36" t="s">
        <v>34</v>
      </c>
      <c r="M36" t="s">
        <v>44</v>
      </c>
      <c r="N36" s="4"/>
    </row>
    <row r="37" spans="1:14">
      <c r="A37" t="s">
        <v>77</v>
      </c>
      <c r="B37" s="2">
        <v>45987</v>
      </c>
      <c r="C37" s="2">
        <v>46005</v>
      </c>
      <c r="D37" s="2">
        <v>46007</v>
      </c>
      <c r="E37">
        <v>111</v>
      </c>
      <c r="F37" t="s">
        <v>43</v>
      </c>
      <c r="G37" t="s">
        <v>39</v>
      </c>
      <c r="H37" t="s">
        <v>25</v>
      </c>
      <c r="I37">
        <v>1</v>
      </c>
      <c r="J37" s="3">
        <v>91.46</v>
      </c>
      <c r="K37" s="3"/>
      <c r="L37" t="s">
        <v>18</v>
      </c>
      <c r="M37" t="s">
        <v>19</v>
      </c>
      <c r="N37" s="4">
        <v>4</v>
      </c>
    </row>
    <row r="38" spans="1:14">
      <c r="A38" t="s">
        <v>78</v>
      </c>
      <c r="B38" s="2">
        <v>45789</v>
      </c>
      <c r="C38" s="2">
        <v>45842</v>
      </c>
      <c r="D38" s="2">
        <v>45845</v>
      </c>
      <c r="E38">
        <v>115</v>
      </c>
      <c r="F38" t="s">
        <v>15</v>
      </c>
      <c r="G38" t="s">
        <v>24</v>
      </c>
      <c r="H38" t="s">
        <v>29</v>
      </c>
      <c r="I38">
        <v>2</v>
      </c>
      <c r="J38" s="3">
        <v>106.95</v>
      </c>
      <c r="K38" s="3">
        <v>8.5</v>
      </c>
      <c r="L38" t="s">
        <v>18</v>
      </c>
      <c r="M38" t="s">
        <v>19</v>
      </c>
      <c r="N38" s="4">
        <v>4</v>
      </c>
    </row>
    <row r="39" spans="1:14">
      <c r="A39" t="s">
        <v>79</v>
      </c>
      <c r="B39" s="2">
        <v>45816</v>
      </c>
      <c r="C39" s="2">
        <v>45842</v>
      </c>
      <c r="D39" s="2">
        <v>45847</v>
      </c>
      <c r="E39">
        <v>215</v>
      </c>
      <c r="F39" t="s">
        <v>23</v>
      </c>
      <c r="G39" t="s">
        <v>24</v>
      </c>
      <c r="H39" t="s">
        <v>46</v>
      </c>
      <c r="I39">
        <v>2</v>
      </c>
      <c r="J39" s="3">
        <v>116.25</v>
      </c>
      <c r="K39" s="3">
        <v>8.5</v>
      </c>
      <c r="L39" t="s">
        <v>51</v>
      </c>
      <c r="M39" t="s">
        <v>19</v>
      </c>
      <c r="N39" s="4"/>
    </row>
    <row r="40" spans="1:14">
      <c r="A40" t="s">
        <v>80</v>
      </c>
      <c r="B40" s="2">
        <v>45643</v>
      </c>
      <c r="C40" s="2">
        <v>45682</v>
      </c>
      <c r="D40" s="2">
        <v>45683</v>
      </c>
      <c r="E40">
        <v>208</v>
      </c>
      <c r="F40" t="s">
        <v>23</v>
      </c>
      <c r="G40" t="s">
        <v>27</v>
      </c>
      <c r="H40" t="s">
        <v>33</v>
      </c>
      <c r="I40">
        <v>3</v>
      </c>
      <c r="J40" s="3">
        <v>144.44999999999999</v>
      </c>
      <c r="K40" s="3">
        <v>8.5</v>
      </c>
      <c r="L40" t="s">
        <v>18</v>
      </c>
      <c r="M40" t="s">
        <v>19</v>
      </c>
      <c r="N40" s="4">
        <v>4</v>
      </c>
    </row>
    <row r="41" spans="1:14">
      <c r="A41" t="s">
        <v>81</v>
      </c>
      <c r="B41" s="2">
        <v>45747</v>
      </c>
      <c r="C41" s="2">
        <v>45793</v>
      </c>
      <c r="D41" s="2">
        <v>45794</v>
      </c>
      <c r="E41">
        <v>208</v>
      </c>
      <c r="F41" t="s">
        <v>43</v>
      </c>
      <c r="G41" t="s">
        <v>16</v>
      </c>
      <c r="H41" t="s">
        <v>70</v>
      </c>
      <c r="I41">
        <v>2</v>
      </c>
      <c r="J41" s="3">
        <v>71.75</v>
      </c>
      <c r="K41" s="3">
        <v>8.5</v>
      </c>
      <c r="L41" t="s">
        <v>18</v>
      </c>
      <c r="M41" t="s">
        <v>19</v>
      </c>
      <c r="N41" s="4">
        <v>4</v>
      </c>
    </row>
    <row r="42" spans="1:14">
      <c r="A42" t="s">
        <v>82</v>
      </c>
      <c r="B42" s="2">
        <v>45955</v>
      </c>
      <c r="C42" s="2">
        <v>46002</v>
      </c>
      <c r="D42" s="2">
        <v>46003</v>
      </c>
      <c r="E42">
        <v>120</v>
      </c>
      <c r="F42" t="s">
        <v>23</v>
      </c>
      <c r="G42" t="s">
        <v>39</v>
      </c>
      <c r="H42" t="s">
        <v>70</v>
      </c>
      <c r="I42">
        <v>2</v>
      </c>
      <c r="J42" s="3">
        <v>134.4</v>
      </c>
      <c r="K42" s="3">
        <v>8.5</v>
      </c>
      <c r="L42" t="s">
        <v>18</v>
      </c>
      <c r="M42" t="s">
        <v>19</v>
      </c>
      <c r="N42" s="4">
        <v>5</v>
      </c>
    </row>
    <row r="43" spans="1:14">
      <c r="A43" t="s">
        <v>83</v>
      </c>
      <c r="B43" s="2">
        <v>45817</v>
      </c>
      <c r="C43" s="2">
        <v>45857</v>
      </c>
      <c r="D43" s="2">
        <v>45859</v>
      </c>
      <c r="E43">
        <v>217</v>
      </c>
      <c r="F43" t="s">
        <v>23</v>
      </c>
      <c r="G43" t="s">
        <v>39</v>
      </c>
      <c r="H43" t="s">
        <v>21</v>
      </c>
      <c r="I43">
        <v>1</v>
      </c>
      <c r="J43" s="3">
        <v>120.64</v>
      </c>
      <c r="K43" s="3">
        <v>8.5</v>
      </c>
      <c r="L43" t="s">
        <v>18</v>
      </c>
      <c r="M43" t="s">
        <v>19</v>
      </c>
      <c r="N43" s="4">
        <v>5</v>
      </c>
    </row>
    <row r="44" spans="1:14">
      <c r="A44" t="s">
        <v>84</v>
      </c>
      <c r="B44" s="2">
        <v>45968</v>
      </c>
      <c r="C44" s="2">
        <v>45998</v>
      </c>
      <c r="D44" s="2">
        <v>46001</v>
      </c>
      <c r="E44">
        <v>209</v>
      </c>
      <c r="F44" t="s">
        <v>38</v>
      </c>
      <c r="G44" t="s">
        <v>16</v>
      </c>
      <c r="H44" t="s">
        <v>21</v>
      </c>
      <c r="I44">
        <v>2</v>
      </c>
      <c r="J44" s="3">
        <v>108.81</v>
      </c>
      <c r="K44" s="3">
        <v>8.5</v>
      </c>
      <c r="L44" t="s">
        <v>51</v>
      </c>
      <c r="M44" t="s">
        <v>44</v>
      </c>
      <c r="N44" s="4"/>
    </row>
    <row r="45" spans="1:14">
      <c r="A45" t="s">
        <v>85</v>
      </c>
      <c r="B45" s="2">
        <v>45981</v>
      </c>
      <c r="C45" s="2">
        <v>46000</v>
      </c>
      <c r="D45" s="2">
        <v>46001</v>
      </c>
      <c r="E45">
        <v>213</v>
      </c>
      <c r="F45" t="s">
        <v>23</v>
      </c>
      <c r="G45" t="s">
        <v>24</v>
      </c>
      <c r="H45" t="s">
        <v>25</v>
      </c>
      <c r="I45">
        <v>2</v>
      </c>
      <c r="J45" s="3">
        <v>133.55000000000001</v>
      </c>
      <c r="K45" s="3">
        <v>8.5</v>
      </c>
      <c r="L45" t="s">
        <v>86</v>
      </c>
      <c r="M45" t="s">
        <v>19</v>
      </c>
      <c r="N45" s="4">
        <v>3</v>
      </c>
    </row>
    <row r="46" spans="1:14">
      <c r="A46" t="s">
        <v>87</v>
      </c>
      <c r="B46" s="2">
        <v>45655</v>
      </c>
      <c r="C46" s="2">
        <v>45686</v>
      </c>
      <c r="D46" s="2">
        <v>45688</v>
      </c>
      <c r="E46">
        <v>220</v>
      </c>
      <c r="F46" t="s">
        <v>43</v>
      </c>
      <c r="G46" t="s">
        <v>39</v>
      </c>
      <c r="H46" t="s">
        <v>33</v>
      </c>
      <c r="I46">
        <v>4</v>
      </c>
      <c r="J46" s="3">
        <v>84.39</v>
      </c>
      <c r="K46" s="3">
        <v>8.5</v>
      </c>
      <c r="L46" t="s">
        <v>18</v>
      </c>
      <c r="M46" t="s">
        <v>19</v>
      </c>
      <c r="N46" s="4">
        <v>4</v>
      </c>
    </row>
    <row r="47" spans="1:14">
      <c r="A47" t="s">
        <v>88</v>
      </c>
      <c r="B47" s="2">
        <v>45745</v>
      </c>
      <c r="C47" s="2">
        <v>45787</v>
      </c>
      <c r="D47" s="2">
        <v>45789</v>
      </c>
      <c r="E47">
        <v>101</v>
      </c>
      <c r="F47" t="s">
        <v>43</v>
      </c>
      <c r="H47" t="s">
        <v>17</v>
      </c>
      <c r="I47">
        <v>2</v>
      </c>
      <c r="J47" s="3">
        <v>90.1</v>
      </c>
      <c r="K47" s="3">
        <v>8.5</v>
      </c>
      <c r="L47" t="s">
        <v>18</v>
      </c>
      <c r="M47" t="s">
        <v>19</v>
      </c>
      <c r="N47" s="4">
        <v>5</v>
      </c>
    </row>
    <row r="48" spans="1:14">
      <c r="A48" t="s">
        <v>89</v>
      </c>
      <c r="B48" s="2">
        <v>45760</v>
      </c>
      <c r="C48" s="2" t="s">
        <v>90</v>
      </c>
      <c r="D48" s="2">
        <v>45791</v>
      </c>
      <c r="E48">
        <v>109</v>
      </c>
      <c r="F48" t="s">
        <v>38</v>
      </c>
      <c r="G48" t="s">
        <v>27</v>
      </c>
      <c r="H48" t="s">
        <v>25</v>
      </c>
      <c r="I48">
        <v>2</v>
      </c>
      <c r="J48" s="3">
        <v>103.38</v>
      </c>
      <c r="K48" s="3">
        <v>8.5</v>
      </c>
      <c r="L48" t="s">
        <v>18</v>
      </c>
      <c r="M48" t="s">
        <v>19</v>
      </c>
      <c r="N48" s="4">
        <v>5</v>
      </c>
    </row>
    <row r="49" spans="1:14">
      <c r="A49" t="s">
        <v>91</v>
      </c>
      <c r="B49" s="2">
        <v>45843</v>
      </c>
      <c r="C49" s="2">
        <v>45891</v>
      </c>
      <c r="D49" s="2">
        <v>45893</v>
      </c>
      <c r="E49">
        <v>211</v>
      </c>
      <c r="F49" t="s">
        <v>38</v>
      </c>
      <c r="G49" t="s">
        <v>27</v>
      </c>
      <c r="H49" t="s">
        <v>25</v>
      </c>
      <c r="I49">
        <v>2</v>
      </c>
      <c r="J49" s="3">
        <v>110.2</v>
      </c>
      <c r="K49" s="3">
        <v>8.5</v>
      </c>
      <c r="L49" t="s">
        <v>18</v>
      </c>
      <c r="M49" t="s">
        <v>19</v>
      </c>
      <c r="N49" s="4">
        <v>4</v>
      </c>
    </row>
    <row r="50" spans="1:14">
      <c r="A50" t="s">
        <v>92</v>
      </c>
      <c r="B50" s="2">
        <v>45965</v>
      </c>
      <c r="C50" s="2">
        <v>45983</v>
      </c>
      <c r="D50" s="2">
        <v>45985</v>
      </c>
      <c r="E50">
        <v>209</v>
      </c>
      <c r="F50" t="s">
        <v>43</v>
      </c>
      <c r="G50" t="s">
        <v>27</v>
      </c>
      <c r="H50" t="s">
        <v>17</v>
      </c>
      <c r="I50">
        <v>2</v>
      </c>
      <c r="J50" s="3">
        <v>78.400000000000006</v>
      </c>
      <c r="K50" s="3">
        <v>8.5</v>
      </c>
      <c r="L50" t="s">
        <v>34</v>
      </c>
      <c r="M50" t="s">
        <v>35</v>
      </c>
      <c r="N50" s="4"/>
    </row>
    <row r="51" spans="1:14">
      <c r="A51" t="s">
        <v>93</v>
      </c>
      <c r="B51" s="2">
        <v>45718</v>
      </c>
      <c r="C51" s="2">
        <v>45733</v>
      </c>
      <c r="D51" s="2">
        <v>45735</v>
      </c>
      <c r="E51">
        <v>205</v>
      </c>
      <c r="F51" t="s">
        <v>15</v>
      </c>
      <c r="G51" t="s">
        <v>16</v>
      </c>
      <c r="H51" t="s">
        <v>46</v>
      </c>
      <c r="I51">
        <v>2</v>
      </c>
      <c r="J51" s="3">
        <v>107.23</v>
      </c>
      <c r="K51" s="3">
        <v>8.5</v>
      </c>
      <c r="L51" t="s">
        <v>18</v>
      </c>
      <c r="M51" t="s">
        <v>19</v>
      </c>
      <c r="N51" s="4">
        <v>4</v>
      </c>
    </row>
    <row r="52" spans="1:14">
      <c r="A52" t="s">
        <v>94</v>
      </c>
      <c r="B52" s="2">
        <v>45820</v>
      </c>
      <c r="C52" s="2">
        <v>45878</v>
      </c>
      <c r="D52" s="2">
        <v>45882</v>
      </c>
      <c r="E52">
        <v>218</v>
      </c>
      <c r="F52" t="s">
        <v>43</v>
      </c>
      <c r="G52" t="s">
        <v>39</v>
      </c>
      <c r="H52" t="s">
        <v>33</v>
      </c>
      <c r="I52">
        <v>1</v>
      </c>
      <c r="J52" s="3">
        <v>93.57</v>
      </c>
      <c r="K52" s="3">
        <v>8.5</v>
      </c>
      <c r="L52" t="s">
        <v>18</v>
      </c>
      <c r="M52" t="s">
        <v>19</v>
      </c>
      <c r="N52" s="4">
        <v>4</v>
      </c>
    </row>
    <row r="53" spans="1:14">
      <c r="A53" t="s">
        <v>95</v>
      </c>
      <c r="B53" s="2">
        <v>45886</v>
      </c>
      <c r="C53" s="2">
        <v>45938</v>
      </c>
      <c r="D53" s="2">
        <v>45943</v>
      </c>
      <c r="E53">
        <v>219</v>
      </c>
      <c r="F53" t="s">
        <v>15</v>
      </c>
      <c r="G53" t="s">
        <v>39</v>
      </c>
      <c r="H53" t="s">
        <v>17</v>
      </c>
      <c r="I53">
        <v>2</v>
      </c>
      <c r="J53" s="3">
        <v>108.08</v>
      </c>
      <c r="K53" s="3">
        <v>8.5</v>
      </c>
      <c r="L53" t="s">
        <v>18</v>
      </c>
      <c r="M53" t="s">
        <v>19</v>
      </c>
      <c r="N53" s="4"/>
    </row>
    <row r="54" spans="1:14">
      <c r="A54" t="s">
        <v>96</v>
      </c>
      <c r="B54" s="2">
        <v>45816</v>
      </c>
      <c r="C54" s="2">
        <v>45870</v>
      </c>
      <c r="D54" s="2">
        <v>45872</v>
      </c>
      <c r="E54">
        <v>210</v>
      </c>
      <c r="F54" t="s">
        <v>15</v>
      </c>
      <c r="G54" t="s">
        <v>39</v>
      </c>
      <c r="H54" t="s">
        <v>33</v>
      </c>
      <c r="I54">
        <v>3</v>
      </c>
      <c r="J54" s="3">
        <v>111.93</v>
      </c>
      <c r="K54" s="3">
        <v>8.5</v>
      </c>
      <c r="L54" t="s">
        <v>18</v>
      </c>
      <c r="M54" t="s">
        <v>19</v>
      </c>
      <c r="N54" s="4">
        <v>4</v>
      </c>
    </row>
    <row r="55" spans="1:14">
      <c r="A55" t="s">
        <v>97</v>
      </c>
      <c r="B55" s="2">
        <v>45895</v>
      </c>
      <c r="C55" s="2">
        <v>45899</v>
      </c>
      <c r="D55" s="2">
        <v>45901</v>
      </c>
      <c r="E55">
        <v>117</v>
      </c>
      <c r="F55" t="s">
        <v>38</v>
      </c>
      <c r="G55" t="s">
        <v>27</v>
      </c>
      <c r="H55" t="s">
        <v>17</v>
      </c>
      <c r="I55">
        <v>2</v>
      </c>
      <c r="J55" s="3">
        <v>94.81</v>
      </c>
      <c r="K55" s="3">
        <v>8.5</v>
      </c>
      <c r="L55" t="s">
        <v>18</v>
      </c>
      <c r="M55" t="s">
        <v>19</v>
      </c>
      <c r="N55" s="4">
        <v>4</v>
      </c>
    </row>
    <row r="56" spans="1:14">
      <c r="A56" t="s">
        <v>98</v>
      </c>
      <c r="B56" s="2">
        <v>45761</v>
      </c>
      <c r="C56" s="2">
        <v>45792</v>
      </c>
      <c r="D56" s="2">
        <v>45793</v>
      </c>
      <c r="E56">
        <v>102</v>
      </c>
      <c r="F56" t="s">
        <v>43</v>
      </c>
      <c r="G56" t="s">
        <v>27</v>
      </c>
      <c r="H56" t="s">
        <v>17</v>
      </c>
      <c r="I56">
        <v>4</v>
      </c>
      <c r="J56" s="3">
        <v>71.72</v>
      </c>
      <c r="K56" s="3">
        <v>8.5</v>
      </c>
      <c r="L56" t="s">
        <v>51</v>
      </c>
      <c r="M56" t="s">
        <v>44</v>
      </c>
      <c r="N56" s="4"/>
    </row>
    <row r="57" spans="1:14">
      <c r="A57" t="s">
        <v>99</v>
      </c>
      <c r="B57" s="2">
        <v>45665</v>
      </c>
      <c r="C57" s="2">
        <v>45678</v>
      </c>
      <c r="D57" s="2">
        <v>45680</v>
      </c>
      <c r="E57">
        <v>102</v>
      </c>
      <c r="F57" t="s">
        <v>15</v>
      </c>
      <c r="G57" t="s">
        <v>16</v>
      </c>
      <c r="H57" t="s">
        <v>17</v>
      </c>
      <c r="I57">
        <v>2</v>
      </c>
      <c r="J57" s="3">
        <v>115.08</v>
      </c>
      <c r="K57" s="3">
        <v>8.5</v>
      </c>
      <c r="L57" t="s">
        <v>18</v>
      </c>
      <c r="M57" t="s">
        <v>19</v>
      </c>
      <c r="N57" s="4">
        <v>5</v>
      </c>
    </row>
    <row r="58" spans="1:14">
      <c r="A58" t="s">
        <v>100</v>
      </c>
      <c r="B58" s="2">
        <v>45783</v>
      </c>
      <c r="C58" s="2">
        <v>45794</v>
      </c>
      <c r="D58" s="2">
        <v>45797</v>
      </c>
      <c r="E58">
        <v>219</v>
      </c>
      <c r="F58" t="s">
        <v>43</v>
      </c>
      <c r="G58" t="s">
        <v>16</v>
      </c>
      <c r="I58">
        <v>1</v>
      </c>
      <c r="J58" s="3">
        <v>84.47</v>
      </c>
      <c r="K58" s="3">
        <v>8.5</v>
      </c>
      <c r="L58" t="s">
        <v>34</v>
      </c>
      <c r="M58" t="s">
        <v>44</v>
      </c>
      <c r="N58" s="4"/>
    </row>
    <row r="59" spans="1:14">
      <c r="A59" t="s">
        <v>101</v>
      </c>
      <c r="B59" s="2">
        <v>45861</v>
      </c>
      <c r="C59" s="2">
        <v>45866</v>
      </c>
      <c r="D59" s="2">
        <v>45868</v>
      </c>
      <c r="E59">
        <v>218</v>
      </c>
      <c r="F59" t="s">
        <v>15</v>
      </c>
      <c r="G59" t="s">
        <v>24</v>
      </c>
      <c r="H59" t="s">
        <v>29</v>
      </c>
      <c r="I59">
        <v>2</v>
      </c>
      <c r="J59" s="3">
        <v>120.51</v>
      </c>
      <c r="K59" s="3">
        <v>8.5</v>
      </c>
      <c r="L59" t="s">
        <v>18</v>
      </c>
      <c r="M59" t="s">
        <v>19</v>
      </c>
      <c r="N59" s="4">
        <v>5</v>
      </c>
    </row>
    <row r="60" spans="1:14">
      <c r="A60" t="s">
        <v>102</v>
      </c>
      <c r="B60" s="2">
        <v>45649</v>
      </c>
      <c r="C60" s="2">
        <v>45684</v>
      </c>
      <c r="D60" s="2">
        <v>45687</v>
      </c>
      <c r="E60">
        <v>208</v>
      </c>
      <c r="F60" t="s">
        <v>23</v>
      </c>
      <c r="G60" t="s">
        <v>24</v>
      </c>
      <c r="H60" t="s">
        <v>21</v>
      </c>
      <c r="I60">
        <v>4</v>
      </c>
      <c r="J60" s="3">
        <v>0</v>
      </c>
      <c r="K60" s="3">
        <v>8.5</v>
      </c>
      <c r="L60" t="s">
        <v>34</v>
      </c>
      <c r="M60" t="s">
        <v>44</v>
      </c>
      <c r="N60" s="4"/>
    </row>
    <row r="61" spans="1:14">
      <c r="A61" t="s">
        <v>103</v>
      </c>
      <c r="B61" s="2">
        <v>45693</v>
      </c>
      <c r="C61" s="2">
        <v>45717</v>
      </c>
      <c r="D61" s="2">
        <v>45721</v>
      </c>
      <c r="E61">
        <v>210</v>
      </c>
      <c r="F61" t="s">
        <v>15</v>
      </c>
      <c r="G61" t="s">
        <v>39</v>
      </c>
      <c r="H61" t="s">
        <v>17</v>
      </c>
      <c r="I61">
        <v>4</v>
      </c>
      <c r="J61" s="3">
        <v>110.65</v>
      </c>
      <c r="K61" s="3">
        <v>8.5</v>
      </c>
      <c r="L61" t="s">
        <v>18</v>
      </c>
      <c r="M61" t="s">
        <v>19</v>
      </c>
      <c r="N61" s="4">
        <v>5</v>
      </c>
    </row>
    <row r="62" spans="1:14">
      <c r="A62" t="s">
        <v>104</v>
      </c>
      <c r="B62" s="2">
        <v>45882</v>
      </c>
      <c r="C62" s="2">
        <v>45910</v>
      </c>
      <c r="D62" s="2">
        <v>45914</v>
      </c>
      <c r="E62">
        <v>218</v>
      </c>
      <c r="F62" t="s">
        <v>23</v>
      </c>
      <c r="G62" t="s">
        <v>27</v>
      </c>
      <c r="H62" t="s">
        <v>25</v>
      </c>
      <c r="I62">
        <v>2</v>
      </c>
      <c r="J62" s="3">
        <v>139.08000000000001</v>
      </c>
      <c r="K62" s="3">
        <v>8.5</v>
      </c>
      <c r="L62" t="s">
        <v>18</v>
      </c>
      <c r="M62" t="s">
        <v>19</v>
      </c>
      <c r="N62" s="4">
        <v>4</v>
      </c>
    </row>
    <row r="63" spans="1:14">
      <c r="A63" t="s">
        <v>105</v>
      </c>
      <c r="B63" s="2">
        <v>45860</v>
      </c>
      <c r="C63" s="2">
        <v>45900</v>
      </c>
      <c r="D63" s="2">
        <v>45905</v>
      </c>
      <c r="E63">
        <v>205</v>
      </c>
      <c r="F63" t="s">
        <v>23</v>
      </c>
      <c r="G63" t="s">
        <v>24</v>
      </c>
      <c r="H63" t="s">
        <v>33</v>
      </c>
      <c r="I63">
        <v>2</v>
      </c>
      <c r="J63" s="3">
        <v>116.36</v>
      </c>
      <c r="K63" s="3">
        <v>8.5</v>
      </c>
      <c r="L63" t="s">
        <v>18</v>
      </c>
      <c r="M63" t="s">
        <v>106</v>
      </c>
      <c r="N63" s="4">
        <v>4</v>
      </c>
    </row>
    <row r="64" spans="1:14">
      <c r="A64" t="s">
        <v>107</v>
      </c>
      <c r="B64" s="2">
        <v>45761</v>
      </c>
      <c r="C64" s="2">
        <v>45806</v>
      </c>
      <c r="D64" s="2">
        <v>45811</v>
      </c>
      <c r="E64">
        <v>118</v>
      </c>
      <c r="F64" t="s">
        <v>43</v>
      </c>
      <c r="G64" t="s">
        <v>16</v>
      </c>
      <c r="H64" t="s">
        <v>46</v>
      </c>
      <c r="I64">
        <v>2</v>
      </c>
      <c r="J64" s="3">
        <v>88</v>
      </c>
      <c r="K64" s="3">
        <v>8.5</v>
      </c>
      <c r="L64" t="s">
        <v>18</v>
      </c>
      <c r="M64" t="s">
        <v>19</v>
      </c>
      <c r="N64" s="4">
        <v>5</v>
      </c>
    </row>
    <row r="65" spans="1:14">
      <c r="A65" t="s">
        <v>108</v>
      </c>
      <c r="B65" s="2">
        <v>45877</v>
      </c>
      <c r="C65" s="2">
        <v>45906</v>
      </c>
      <c r="D65" s="2">
        <v>45910</v>
      </c>
      <c r="E65">
        <v>102</v>
      </c>
      <c r="F65" t="s">
        <v>43</v>
      </c>
      <c r="G65" t="s">
        <v>27</v>
      </c>
      <c r="H65" t="s">
        <v>17</v>
      </c>
      <c r="I65">
        <v>2</v>
      </c>
      <c r="J65" s="3">
        <v>87.29</v>
      </c>
      <c r="K65" s="3">
        <v>8.5</v>
      </c>
      <c r="L65" t="s">
        <v>18</v>
      </c>
      <c r="M65" t="s">
        <v>19</v>
      </c>
      <c r="N65" s="4">
        <v>4</v>
      </c>
    </row>
    <row r="66" spans="1:14">
      <c r="A66" t="s">
        <v>109</v>
      </c>
      <c r="B66" s="2">
        <v>45923</v>
      </c>
      <c r="C66" s="2">
        <v>45946</v>
      </c>
      <c r="D66" s="2">
        <v>45951</v>
      </c>
      <c r="E66">
        <v>208</v>
      </c>
      <c r="F66" t="s">
        <v>23</v>
      </c>
      <c r="G66" t="s">
        <v>27</v>
      </c>
      <c r="H66" t="s">
        <v>29</v>
      </c>
      <c r="I66">
        <v>2</v>
      </c>
      <c r="J66" s="3">
        <v>119.48</v>
      </c>
      <c r="K66" s="3">
        <v>8.5</v>
      </c>
      <c r="L66" t="s">
        <v>18</v>
      </c>
      <c r="M66" t="s">
        <v>19</v>
      </c>
      <c r="N66" s="4">
        <v>4</v>
      </c>
    </row>
    <row r="67" spans="1:14">
      <c r="A67" t="s">
        <v>110</v>
      </c>
      <c r="B67" s="2">
        <v>45776</v>
      </c>
      <c r="C67" s="2">
        <v>45824</v>
      </c>
      <c r="D67" s="2"/>
      <c r="E67">
        <v>215</v>
      </c>
      <c r="F67" t="s">
        <v>15</v>
      </c>
      <c r="G67" t="s">
        <v>16</v>
      </c>
      <c r="H67" t="s">
        <v>17</v>
      </c>
      <c r="I67">
        <v>4</v>
      </c>
      <c r="J67" s="3">
        <v>109.53</v>
      </c>
      <c r="K67" s="3">
        <v>8.5</v>
      </c>
      <c r="L67" t="s">
        <v>18</v>
      </c>
      <c r="M67" t="s">
        <v>44</v>
      </c>
      <c r="N67" s="4">
        <v>5</v>
      </c>
    </row>
    <row r="68" spans="1:14">
      <c r="A68" t="s">
        <v>111</v>
      </c>
      <c r="B68" s="2">
        <v>45961</v>
      </c>
      <c r="C68" s="2">
        <v>45968</v>
      </c>
      <c r="D68" s="2">
        <v>45971</v>
      </c>
      <c r="E68">
        <v>113</v>
      </c>
      <c r="F68" t="s">
        <v>23</v>
      </c>
      <c r="G68" t="s">
        <v>16</v>
      </c>
      <c r="H68" t="s">
        <v>70</v>
      </c>
      <c r="I68">
        <v>2</v>
      </c>
      <c r="J68" s="3">
        <v>120.58</v>
      </c>
      <c r="K68" s="3">
        <v>8.5</v>
      </c>
      <c r="L68" t="s">
        <v>18</v>
      </c>
      <c r="M68" t="s">
        <v>19</v>
      </c>
      <c r="N68" s="4">
        <v>3</v>
      </c>
    </row>
    <row r="69" spans="1:14">
      <c r="A69" t="s">
        <v>112</v>
      </c>
      <c r="B69" s="2">
        <v>45671</v>
      </c>
      <c r="C69" s="2">
        <v>45690</v>
      </c>
      <c r="D69" s="2">
        <v>45695</v>
      </c>
      <c r="E69">
        <v>109</v>
      </c>
      <c r="G69" t="s">
        <v>24</v>
      </c>
      <c r="H69" t="s">
        <v>25</v>
      </c>
      <c r="I69">
        <v>1</v>
      </c>
      <c r="J69" s="3">
        <v>102.22</v>
      </c>
      <c r="K69" s="3">
        <v>8.5</v>
      </c>
      <c r="L69" t="s">
        <v>18</v>
      </c>
      <c r="M69" t="s">
        <v>19</v>
      </c>
      <c r="N69" s="4">
        <v>4</v>
      </c>
    </row>
    <row r="70" spans="1:14">
      <c r="A70" t="s">
        <v>113</v>
      </c>
      <c r="B70" s="2">
        <v>45633</v>
      </c>
      <c r="C70" s="2">
        <v>45689</v>
      </c>
      <c r="D70" s="2">
        <v>45692</v>
      </c>
      <c r="E70">
        <v>211</v>
      </c>
      <c r="F70" t="s">
        <v>43</v>
      </c>
      <c r="G70" t="s">
        <v>24</v>
      </c>
      <c r="H70" t="s">
        <v>33</v>
      </c>
      <c r="I70">
        <v>2</v>
      </c>
      <c r="J70" s="3">
        <v>71.849999999999994</v>
      </c>
      <c r="K70" s="3">
        <v>8.5</v>
      </c>
      <c r="L70" t="s">
        <v>18</v>
      </c>
      <c r="M70" t="s">
        <v>19</v>
      </c>
      <c r="N70" s="4">
        <v>4</v>
      </c>
    </row>
    <row r="71" spans="1:14">
      <c r="A71" t="s">
        <v>114</v>
      </c>
      <c r="B71" s="2">
        <v>45945</v>
      </c>
      <c r="C71" s="2">
        <v>45951</v>
      </c>
      <c r="D71" s="2">
        <v>45954</v>
      </c>
      <c r="E71">
        <v>116</v>
      </c>
      <c r="F71" t="s">
        <v>43</v>
      </c>
      <c r="G71" t="s">
        <v>39</v>
      </c>
      <c r="H71" t="s">
        <v>21</v>
      </c>
      <c r="I71">
        <v>3</v>
      </c>
      <c r="J71" s="3">
        <v>89.77</v>
      </c>
      <c r="K71" s="3">
        <v>8.5</v>
      </c>
      <c r="L71" t="s">
        <v>18</v>
      </c>
      <c r="M71" t="s">
        <v>19</v>
      </c>
      <c r="N71" s="4">
        <v>4</v>
      </c>
    </row>
    <row r="72" spans="1:14">
      <c r="A72" t="s">
        <v>115</v>
      </c>
      <c r="B72" s="2">
        <v>45833</v>
      </c>
      <c r="C72" s="2">
        <v>45889</v>
      </c>
      <c r="D72" s="2">
        <v>45892</v>
      </c>
      <c r="E72">
        <v>218</v>
      </c>
      <c r="F72" t="s">
        <v>38</v>
      </c>
      <c r="G72" t="s">
        <v>27</v>
      </c>
      <c r="H72" t="s">
        <v>21</v>
      </c>
      <c r="I72">
        <v>3</v>
      </c>
      <c r="J72" s="3">
        <v>86.81</v>
      </c>
      <c r="K72" s="3">
        <v>8.5</v>
      </c>
      <c r="L72" t="s">
        <v>51</v>
      </c>
      <c r="M72" t="s">
        <v>44</v>
      </c>
      <c r="N72" s="4"/>
    </row>
    <row r="73" spans="1:14">
      <c r="A73" t="s">
        <v>116</v>
      </c>
      <c r="B73" s="2">
        <v>45752</v>
      </c>
      <c r="C73" s="2">
        <v>45769</v>
      </c>
      <c r="D73" s="2">
        <v>45771</v>
      </c>
      <c r="E73">
        <v>106</v>
      </c>
      <c r="F73" t="s">
        <v>15</v>
      </c>
      <c r="G73" t="s">
        <v>16</v>
      </c>
      <c r="H73" t="s">
        <v>17</v>
      </c>
      <c r="I73">
        <v>3</v>
      </c>
      <c r="J73" s="3">
        <v>97.25</v>
      </c>
      <c r="K73" s="3">
        <v>8.5</v>
      </c>
      <c r="L73" t="s">
        <v>18</v>
      </c>
      <c r="M73" t="s">
        <v>19</v>
      </c>
      <c r="N73" s="4">
        <v>5</v>
      </c>
    </row>
    <row r="74" spans="1:14">
      <c r="A74" t="s">
        <v>117</v>
      </c>
      <c r="B74" s="2">
        <v>45900</v>
      </c>
      <c r="C74" s="2">
        <v>45903</v>
      </c>
      <c r="D74" s="2">
        <v>45906</v>
      </c>
      <c r="E74">
        <v>115</v>
      </c>
      <c r="F74" t="s">
        <v>23</v>
      </c>
      <c r="G74" t="s">
        <v>118</v>
      </c>
      <c r="H74" t="s">
        <v>29</v>
      </c>
      <c r="I74">
        <v>2</v>
      </c>
      <c r="J74" s="3">
        <v>112.49</v>
      </c>
      <c r="K74" s="3">
        <v>8.5</v>
      </c>
      <c r="L74" t="s">
        <v>18</v>
      </c>
      <c r="M74" t="s">
        <v>19</v>
      </c>
      <c r="N74" s="4">
        <v>5</v>
      </c>
    </row>
    <row r="75" spans="1:14">
      <c r="A75" t="s">
        <v>119</v>
      </c>
      <c r="B75" s="2">
        <v>45936</v>
      </c>
      <c r="C75" s="2">
        <v>45964</v>
      </c>
      <c r="D75" s="2">
        <v>45966</v>
      </c>
      <c r="E75">
        <v>108</v>
      </c>
      <c r="F75" t="s">
        <v>15</v>
      </c>
      <c r="G75" t="s">
        <v>16</v>
      </c>
      <c r="H75" t="s">
        <v>70</v>
      </c>
      <c r="I75">
        <v>2</v>
      </c>
      <c r="J75" s="3">
        <v>97.14</v>
      </c>
      <c r="K75" s="3">
        <v>8.5</v>
      </c>
      <c r="L75" t="s">
        <v>18</v>
      </c>
      <c r="M75" t="s">
        <v>19</v>
      </c>
      <c r="N75" s="4">
        <v>5</v>
      </c>
    </row>
    <row r="76" spans="1:14">
      <c r="A76" t="s">
        <v>120</v>
      </c>
      <c r="B76" s="2">
        <v>45925</v>
      </c>
      <c r="C76" s="2">
        <v>45954</v>
      </c>
      <c r="D76" s="2">
        <v>45957</v>
      </c>
      <c r="E76">
        <v>108</v>
      </c>
      <c r="F76" t="s">
        <v>38</v>
      </c>
      <c r="G76" t="s">
        <v>27</v>
      </c>
      <c r="H76" t="s">
        <v>29</v>
      </c>
      <c r="I76">
        <v>2</v>
      </c>
      <c r="J76" s="3"/>
      <c r="K76" s="3">
        <v>8.5</v>
      </c>
      <c r="L76" t="s">
        <v>18</v>
      </c>
      <c r="M76" t="s">
        <v>19</v>
      </c>
      <c r="N76" s="4">
        <v>3</v>
      </c>
    </row>
    <row r="77" spans="1:14">
      <c r="A77" t="s">
        <v>121</v>
      </c>
      <c r="B77" s="2">
        <v>45912</v>
      </c>
      <c r="C77" s="2">
        <v>45969</v>
      </c>
      <c r="D77" s="2">
        <v>45970</v>
      </c>
      <c r="E77">
        <v>208</v>
      </c>
      <c r="F77" t="s">
        <v>23</v>
      </c>
      <c r="G77" t="s">
        <v>27</v>
      </c>
      <c r="H77" t="s">
        <v>46</v>
      </c>
      <c r="I77">
        <v>1</v>
      </c>
      <c r="J77" s="3">
        <v>118.01</v>
      </c>
      <c r="K77" s="3">
        <v>8.5</v>
      </c>
      <c r="L77" t="s">
        <v>18</v>
      </c>
      <c r="M77" t="s">
        <v>19</v>
      </c>
      <c r="N77" s="4">
        <v>5</v>
      </c>
    </row>
    <row r="78" spans="1:14">
      <c r="A78" t="s">
        <v>122</v>
      </c>
      <c r="B78" s="2">
        <v>45636</v>
      </c>
      <c r="C78" s="2">
        <v>45673</v>
      </c>
      <c r="D78" s="2">
        <v>45676</v>
      </c>
      <c r="E78">
        <v>103</v>
      </c>
      <c r="F78" t="s">
        <v>15</v>
      </c>
      <c r="G78" t="s">
        <v>39</v>
      </c>
      <c r="H78" t="s">
        <v>21</v>
      </c>
      <c r="I78">
        <v>4</v>
      </c>
      <c r="J78" s="3">
        <v>108.27</v>
      </c>
      <c r="K78" s="3">
        <v>8.5</v>
      </c>
      <c r="L78" t="s">
        <v>18</v>
      </c>
      <c r="M78" t="s">
        <v>44</v>
      </c>
      <c r="N78" s="4">
        <v>4</v>
      </c>
    </row>
    <row r="79" spans="1:14">
      <c r="A79" t="s">
        <v>123</v>
      </c>
      <c r="B79" s="2">
        <v>45982</v>
      </c>
      <c r="C79" s="2">
        <v>45988</v>
      </c>
      <c r="D79" s="2">
        <v>45992</v>
      </c>
      <c r="E79">
        <v>211</v>
      </c>
      <c r="F79" t="s">
        <v>23</v>
      </c>
      <c r="G79" t="s">
        <v>39</v>
      </c>
      <c r="H79" t="s">
        <v>70</v>
      </c>
      <c r="I79">
        <v>2</v>
      </c>
      <c r="J79" s="3">
        <v>133.44999999999999</v>
      </c>
      <c r="K79" s="3">
        <v>8.5</v>
      </c>
      <c r="L79" t="s">
        <v>34</v>
      </c>
      <c r="M79" t="s">
        <v>44</v>
      </c>
      <c r="N79" s="4"/>
    </row>
    <row r="80" spans="1:14">
      <c r="A80" t="s">
        <v>124</v>
      </c>
      <c r="B80" s="2">
        <v>45854</v>
      </c>
      <c r="C80" s="2">
        <v>45873</v>
      </c>
      <c r="D80" s="2">
        <v>45877</v>
      </c>
      <c r="E80">
        <v>206</v>
      </c>
      <c r="F80" t="s">
        <v>43</v>
      </c>
      <c r="G80" t="s">
        <v>39</v>
      </c>
      <c r="H80" t="s">
        <v>46</v>
      </c>
      <c r="I80">
        <v>2</v>
      </c>
      <c r="J80" s="3">
        <v>76.31</v>
      </c>
      <c r="K80" s="3">
        <v>8.5</v>
      </c>
      <c r="L80" t="s">
        <v>18</v>
      </c>
      <c r="M80" t="s">
        <v>19</v>
      </c>
      <c r="N80" s="4">
        <v>5</v>
      </c>
    </row>
    <row r="81" spans="1:14">
      <c r="A81" t="s">
        <v>125</v>
      </c>
      <c r="B81" s="2">
        <v>45633</v>
      </c>
      <c r="C81" s="2">
        <v>45663</v>
      </c>
      <c r="D81" s="2">
        <v>45668</v>
      </c>
      <c r="E81">
        <v>207</v>
      </c>
      <c r="F81" t="s">
        <v>43</v>
      </c>
      <c r="G81" t="s">
        <v>16</v>
      </c>
      <c r="H81" t="s">
        <v>21</v>
      </c>
      <c r="I81">
        <v>2</v>
      </c>
      <c r="J81" s="3">
        <v>85.57</v>
      </c>
      <c r="K81" s="3">
        <v>8.5</v>
      </c>
      <c r="L81" t="s">
        <v>18</v>
      </c>
      <c r="M81" t="s">
        <v>19</v>
      </c>
      <c r="N81" s="4">
        <v>3</v>
      </c>
    </row>
    <row r="82" spans="1:14">
      <c r="A82" t="s">
        <v>126</v>
      </c>
      <c r="B82" s="2">
        <v>45731</v>
      </c>
      <c r="C82" s="2">
        <v>45767</v>
      </c>
      <c r="D82" s="2">
        <v>45770</v>
      </c>
      <c r="E82">
        <v>109</v>
      </c>
      <c r="F82" t="s">
        <v>23</v>
      </c>
      <c r="G82" t="s">
        <v>39</v>
      </c>
      <c r="H82" t="s">
        <v>29</v>
      </c>
      <c r="I82">
        <v>2</v>
      </c>
      <c r="J82" s="3">
        <v>114.25</v>
      </c>
      <c r="K82" s="3">
        <v>8.5</v>
      </c>
      <c r="L82" t="s">
        <v>51</v>
      </c>
      <c r="M82" t="s">
        <v>44</v>
      </c>
      <c r="N82" s="4"/>
    </row>
    <row r="83" spans="1:14">
      <c r="A83" t="s">
        <v>127</v>
      </c>
      <c r="B83" s="2">
        <v>45708</v>
      </c>
      <c r="C83" s="2">
        <v>45744</v>
      </c>
      <c r="D83" s="2">
        <v>45747</v>
      </c>
      <c r="E83">
        <v>101</v>
      </c>
      <c r="F83" t="s">
        <v>38</v>
      </c>
      <c r="H83" t="s">
        <v>17</v>
      </c>
      <c r="I83">
        <v>1</v>
      </c>
      <c r="J83" s="3">
        <v>98.84</v>
      </c>
      <c r="K83" s="3">
        <v>8.5</v>
      </c>
      <c r="L83" t="s">
        <v>18</v>
      </c>
      <c r="M83" t="s">
        <v>19</v>
      </c>
      <c r="N83" s="4">
        <v>4</v>
      </c>
    </row>
    <row r="84" spans="1:14">
      <c r="A84" t="s">
        <v>128</v>
      </c>
      <c r="B84" s="2">
        <v>45766</v>
      </c>
      <c r="C84" s="2">
        <v>45812</v>
      </c>
      <c r="D84" s="2">
        <v>45817</v>
      </c>
      <c r="E84">
        <v>118</v>
      </c>
      <c r="F84" t="s">
        <v>38</v>
      </c>
      <c r="G84" t="s">
        <v>39</v>
      </c>
      <c r="H84" t="s">
        <v>33</v>
      </c>
      <c r="I84">
        <v>2</v>
      </c>
      <c r="J84" s="3">
        <v>98.7</v>
      </c>
      <c r="K84" s="3">
        <v>8.5</v>
      </c>
      <c r="L84" t="s">
        <v>18</v>
      </c>
      <c r="M84" t="s">
        <v>19</v>
      </c>
      <c r="N84" s="4">
        <v>5</v>
      </c>
    </row>
    <row r="85" spans="1:14">
      <c r="A85" t="s">
        <v>129</v>
      </c>
      <c r="B85" s="2">
        <v>45867</v>
      </c>
      <c r="C85" s="2">
        <v>45923</v>
      </c>
      <c r="D85" s="2">
        <v>45922</v>
      </c>
      <c r="E85">
        <v>105</v>
      </c>
      <c r="F85" t="s">
        <v>23</v>
      </c>
      <c r="G85" t="s">
        <v>39</v>
      </c>
      <c r="H85" t="s">
        <v>70</v>
      </c>
      <c r="I85">
        <v>3</v>
      </c>
      <c r="J85" s="3">
        <v>119.35</v>
      </c>
      <c r="K85" s="3">
        <v>8.5</v>
      </c>
      <c r="L85" t="s">
        <v>18</v>
      </c>
      <c r="M85" t="s">
        <v>19</v>
      </c>
      <c r="N85" s="4">
        <v>5</v>
      </c>
    </row>
    <row r="86" spans="1:14">
      <c r="A86" t="s">
        <v>130</v>
      </c>
      <c r="B86" s="2">
        <v>45903</v>
      </c>
      <c r="C86" s="2">
        <v>45959</v>
      </c>
      <c r="D86" s="2">
        <v>45963</v>
      </c>
      <c r="E86">
        <v>110</v>
      </c>
      <c r="F86" t="s">
        <v>38</v>
      </c>
      <c r="G86" t="s">
        <v>39</v>
      </c>
      <c r="H86" t="s">
        <v>70</v>
      </c>
      <c r="I86">
        <v>2</v>
      </c>
      <c r="J86" s="3">
        <v>101.56</v>
      </c>
      <c r="K86" s="3">
        <v>8.5</v>
      </c>
      <c r="L86" t="s">
        <v>18</v>
      </c>
      <c r="M86" t="s">
        <v>19</v>
      </c>
      <c r="N86" s="4">
        <v>4</v>
      </c>
    </row>
    <row r="87" spans="1:14">
      <c r="A87" t="s">
        <v>131</v>
      </c>
      <c r="B87" s="2">
        <v>45722</v>
      </c>
      <c r="C87" s="2">
        <v>45759</v>
      </c>
      <c r="D87" s="2">
        <v>45761</v>
      </c>
      <c r="E87">
        <v>205</v>
      </c>
      <c r="F87" t="s">
        <v>15</v>
      </c>
      <c r="G87" t="s">
        <v>39</v>
      </c>
      <c r="H87" t="s">
        <v>46</v>
      </c>
      <c r="I87">
        <v>2</v>
      </c>
      <c r="J87" s="3">
        <v>117.34</v>
      </c>
      <c r="K87" s="3">
        <v>8.5</v>
      </c>
      <c r="L87" t="s">
        <v>18</v>
      </c>
      <c r="M87" t="s">
        <v>19</v>
      </c>
      <c r="N87" s="4">
        <v>4</v>
      </c>
    </row>
    <row r="88" spans="1:14">
      <c r="A88" t="s">
        <v>132</v>
      </c>
      <c r="B88" s="2">
        <v>45970</v>
      </c>
      <c r="C88" s="2">
        <v>46002</v>
      </c>
      <c r="D88" s="2">
        <v>46004</v>
      </c>
      <c r="E88">
        <v>103</v>
      </c>
      <c r="F88" t="s">
        <v>15</v>
      </c>
      <c r="G88" t="s">
        <v>27</v>
      </c>
      <c r="H88" t="s">
        <v>25</v>
      </c>
      <c r="I88">
        <v>1</v>
      </c>
      <c r="J88" s="3">
        <v>121.23</v>
      </c>
      <c r="K88" s="3">
        <v>8.5</v>
      </c>
      <c r="L88" t="s">
        <v>18</v>
      </c>
      <c r="M88" t="s">
        <v>19</v>
      </c>
      <c r="N88" s="4">
        <v>4</v>
      </c>
    </row>
    <row r="89" spans="1:14">
      <c r="A89" t="s">
        <v>133</v>
      </c>
      <c r="B89" s="2">
        <v>45643</v>
      </c>
      <c r="C89" s="2">
        <v>45670</v>
      </c>
      <c r="D89" s="2">
        <v>45672</v>
      </c>
      <c r="E89">
        <v>110</v>
      </c>
      <c r="F89" t="s">
        <v>43</v>
      </c>
      <c r="G89" t="s">
        <v>39</v>
      </c>
      <c r="H89" t="s">
        <v>25</v>
      </c>
      <c r="I89">
        <v>2</v>
      </c>
      <c r="J89" s="3">
        <v>78.459999999999994</v>
      </c>
      <c r="K89" s="3">
        <v>8.5</v>
      </c>
      <c r="L89" t="s">
        <v>18</v>
      </c>
      <c r="M89" t="s">
        <v>19</v>
      </c>
      <c r="N89" s="4">
        <v>4</v>
      </c>
    </row>
    <row r="90" spans="1:14">
      <c r="A90" t="s">
        <v>134</v>
      </c>
      <c r="B90" s="2">
        <v>45983</v>
      </c>
      <c r="C90" s="2">
        <v>46008</v>
      </c>
      <c r="D90" s="2">
        <v>46013</v>
      </c>
      <c r="E90">
        <v>201</v>
      </c>
      <c r="F90" t="s">
        <v>38</v>
      </c>
      <c r="G90" t="s">
        <v>24</v>
      </c>
      <c r="H90" t="s">
        <v>21</v>
      </c>
      <c r="I90">
        <v>1</v>
      </c>
      <c r="J90" s="3">
        <v>92.04</v>
      </c>
      <c r="K90" s="3">
        <v>8.5</v>
      </c>
      <c r="L90" t="s">
        <v>18</v>
      </c>
      <c r="M90" t="s">
        <v>19</v>
      </c>
      <c r="N90" s="4">
        <v>4</v>
      </c>
    </row>
    <row r="91" spans="1:14">
      <c r="A91" t="s">
        <v>135</v>
      </c>
      <c r="B91" s="2">
        <v>45702</v>
      </c>
      <c r="C91" s="2">
        <v>45709</v>
      </c>
      <c r="D91" s="2">
        <v>45713</v>
      </c>
      <c r="E91">
        <v>107</v>
      </c>
      <c r="F91" t="s">
        <v>38</v>
      </c>
      <c r="G91" t="s">
        <v>16</v>
      </c>
      <c r="H91" t="s">
        <v>29</v>
      </c>
      <c r="I91">
        <v>2</v>
      </c>
      <c r="J91" s="3">
        <v>112.1</v>
      </c>
      <c r="K91" s="3">
        <v>8.5</v>
      </c>
      <c r="L91" t="s">
        <v>136</v>
      </c>
      <c r="M91" t="s">
        <v>19</v>
      </c>
      <c r="N91" s="4">
        <v>4</v>
      </c>
    </row>
    <row r="92" spans="1:14">
      <c r="A92" t="s">
        <v>137</v>
      </c>
      <c r="B92" s="2">
        <v>45818</v>
      </c>
      <c r="C92" s="2">
        <v>45846</v>
      </c>
      <c r="D92" s="2">
        <v>45849</v>
      </c>
      <c r="E92">
        <v>110</v>
      </c>
      <c r="F92" t="s">
        <v>15</v>
      </c>
      <c r="G92" t="s">
        <v>39</v>
      </c>
      <c r="H92" t="s">
        <v>21</v>
      </c>
      <c r="I92">
        <v>4</v>
      </c>
      <c r="J92" s="3">
        <v>118.78</v>
      </c>
      <c r="K92" s="3"/>
      <c r="L92" t="s">
        <v>18</v>
      </c>
      <c r="M92" t="s">
        <v>19</v>
      </c>
      <c r="N92" s="4">
        <v>4</v>
      </c>
    </row>
    <row r="93" spans="1:14">
      <c r="A93" t="s">
        <v>138</v>
      </c>
      <c r="B93" s="2">
        <v>45948</v>
      </c>
      <c r="C93" s="2">
        <v>45980</v>
      </c>
      <c r="D93" s="2">
        <v>45982</v>
      </c>
      <c r="E93">
        <v>218</v>
      </c>
      <c r="F93" t="s">
        <v>15</v>
      </c>
      <c r="G93" t="s">
        <v>16</v>
      </c>
      <c r="H93" t="s">
        <v>33</v>
      </c>
      <c r="I93">
        <v>4</v>
      </c>
      <c r="J93" s="3">
        <v>102.62</v>
      </c>
      <c r="K93" s="3">
        <v>8.5</v>
      </c>
      <c r="L93" t="s">
        <v>18</v>
      </c>
      <c r="M93" t="s">
        <v>19</v>
      </c>
      <c r="N93" s="4">
        <v>4</v>
      </c>
    </row>
    <row r="94" spans="1:14">
      <c r="A94" t="s">
        <v>139</v>
      </c>
      <c r="B94" s="2">
        <v>45799</v>
      </c>
      <c r="C94" s="2">
        <v>45810</v>
      </c>
      <c r="D94" s="2">
        <v>45815</v>
      </c>
      <c r="E94">
        <v>105</v>
      </c>
      <c r="F94" t="s">
        <v>38</v>
      </c>
      <c r="G94" t="s">
        <v>27</v>
      </c>
      <c r="H94" t="s">
        <v>21</v>
      </c>
      <c r="I94">
        <v>2</v>
      </c>
      <c r="J94" s="3">
        <v>104.17</v>
      </c>
      <c r="K94" s="3">
        <v>8.5</v>
      </c>
      <c r="L94" t="s">
        <v>18</v>
      </c>
      <c r="M94" t="s">
        <v>19</v>
      </c>
      <c r="N94" s="4">
        <v>4</v>
      </c>
    </row>
    <row r="95" spans="1:14">
      <c r="A95" t="s">
        <v>140</v>
      </c>
      <c r="B95" s="2">
        <v>45709</v>
      </c>
      <c r="C95" s="2">
        <v>45764</v>
      </c>
      <c r="D95" s="2">
        <v>45768</v>
      </c>
      <c r="E95">
        <v>211</v>
      </c>
      <c r="F95" t="s">
        <v>43</v>
      </c>
      <c r="G95" t="s">
        <v>16</v>
      </c>
      <c r="H95" t="s">
        <v>33</v>
      </c>
      <c r="I95">
        <v>3</v>
      </c>
      <c r="J95" s="3">
        <v>78.97</v>
      </c>
      <c r="K95" s="3">
        <v>8.5</v>
      </c>
      <c r="L95" t="s">
        <v>18</v>
      </c>
      <c r="M95" t="s">
        <v>19</v>
      </c>
      <c r="N95" s="4"/>
    </row>
    <row r="96" spans="1:14">
      <c r="A96" t="s">
        <v>141</v>
      </c>
      <c r="B96" s="2">
        <v>45982</v>
      </c>
      <c r="C96" s="2">
        <v>46000</v>
      </c>
      <c r="D96" s="2">
        <v>46004</v>
      </c>
      <c r="E96">
        <v>101</v>
      </c>
      <c r="F96" t="s">
        <v>43</v>
      </c>
      <c r="G96" t="s">
        <v>39</v>
      </c>
      <c r="H96" t="s">
        <v>25</v>
      </c>
      <c r="I96">
        <v>2</v>
      </c>
      <c r="J96" s="3">
        <v>89.39</v>
      </c>
      <c r="K96" s="3">
        <v>8.5</v>
      </c>
      <c r="L96" t="s">
        <v>18</v>
      </c>
      <c r="M96" t="s">
        <v>19</v>
      </c>
      <c r="N96" s="4">
        <v>4</v>
      </c>
    </row>
    <row r="97" spans="1:14">
      <c r="A97" t="s">
        <v>142</v>
      </c>
      <c r="B97" s="2">
        <v>45948</v>
      </c>
      <c r="C97" s="2">
        <v>45988</v>
      </c>
      <c r="D97" s="2">
        <v>45990</v>
      </c>
      <c r="E97">
        <v>117</v>
      </c>
      <c r="F97" t="s">
        <v>15</v>
      </c>
      <c r="G97" t="s">
        <v>24</v>
      </c>
      <c r="H97" t="s">
        <v>29</v>
      </c>
      <c r="I97">
        <v>4</v>
      </c>
      <c r="J97" s="3">
        <v>96.18</v>
      </c>
      <c r="K97" s="3">
        <v>8.5</v>
      </c>
      <c r="L97" t="s">
        <v>34</v>
      </c>
      <c r="M97" t="s">
        <v>35</v>
      </c>
      <c r="N97" s="4"/>
    </row>
    <row r="98" spans="1:14">
      <c r="A98" t="s">
        <v>143</v>
      </c>
      <c r="B98" s="2">
        <v>45912</v>
      </c>
      <c r="C98" s="2">
        <v>45959</v>
      </c>
      <c r="D98" s="2">
        <v>45962</v>
      </c>
      <c r="E98">
        <v>109</v>
      </c>
      <c r="F98" t="s">
        <v>43</v>
      </c>
      <c r="G98" t="s">
        <v>27</v>
      </c>
      <c r="H98" t="s">
        <v>70</v>
      </c>
      <c r="I98">
        <v>4</v>
      </c>
      <c r="J98" s="3">
        <v>450</v>
      </c>
      <c r="K98" s="3">
        <v>8.5</v>
      </c>
      <c r="L98" t="s">
        <v>18</v>
      </c>
      <c r="M98" t="s">
        <v>19</v>
      </c>
      <c r="N98" s="4">
        <v>4</v>
      </c>
    </row>
    <row r="99" spans="1:14">
      <c r="A99" t="s">
        <v>144</v>
      </c>
      <c r="B99" s="2">
        <v>45875</v>
      </c>
      <c r="C99" s="2">
        <v>45934</v>
      </c>
      <c r="D99" s="2">
        <v>45939</v>
      </c>
      <c r="E99">
        <v>118</v>
      </c>
      <c r="F99" t="s">
        <v>15</v>
      </c>
      <c r="G99" t="s">
        <v>27</v>
      </c>
      <c r="H99" t="s">
        <v>25</v>
      </c>
      <c r="I99">
        <v>2</v>
      </c>
      <c r="J99" s="3">
        <v>124.02</v>
      </c>
      <c r="K99" s="3">
        <v>8.5</v>
      </c>
      <c r="L99" t="s">
        <v>18</v>
      </c>
      <c r="M99" t="s">
        <v>19</v>
      </c>
      <c r="N99" s="4">
        <v>3</v>
      </c>
    </row>
    <row r="100" spans="1:14">
      <c r="A100" t="s">
        <v>145</v>
      </c>
      <c r="B100" s="2">
        <v>45892</v>
      </c>
      <c r="C100" s="2">
        <v>45902</v>
      </c>
      <c r="D100" s="2">
        <v>45903</v>
      </c>
      <c r="E100">
        <v>115</v>
      </c>
      <c r="F100" t="s">
        <v>38</v>
      </c>
      <c r="G100" t="s">
        <v>27</v>
      </c>
      <c r="H100" t="s">
        <v>46</v>
      </c>
      <c r="I100">
        <v>2</v>
      </c>
      <c r="J100" s="3">
        <v>85.42</v>
      </c>
      <c r="K100" s="3">
        <v>8.5</v>
      </c>
      <c r="L100" t="s">
        <v>18</v>
      </c>
      <c r="M100" t="s">
        <v>35</v>
      </c>
      <c r="N100" s="4">
        <v>5</v>
      </c>
    </row>
    <row r="101" spans="1:14">
      <c r="A101" t="s">
        <v>146</v>
      </c>
      <c r="B101" s="2">
        <v>45969</v>
      </c>
      <c r="C101" s="2">
        <v>46007</v>
      </c>
      <c r="D101" s="2">
        <v>46010</v>
      </c>
      <c r="E101">
        <v>205</v>
      </c>
      <c r="F101" t="s">
        <v>23</v>
      </c>
      <c r="G101" t="s">
        <v>24</v>
      </c>
      <c r="H101" t="s">
        <v>29</v>
      </c>
      <c r="I101">
        <v>2</v>
      </c>
      <c r="J101" s="3">
        <v>126.5</v>
      </c>
      <c r="K101" s="3">
        <v>8.5</v>
      </c>
      <c r="L101" t="s">
        <v>18</v>
      </c>
      <c r="M101" t="s">
        <v>44</v>
      </c>
      <c r="N101" s="4">
        <v>4</v>
      </c>
    </row>
    <row r="102" spans="1:14">
      <c r="A102" t="s">
        <v>147</v>
      </c>
      <c r="B102" s="2">
        <v>45933</v>
      </c>
      <c r="C102" s="2">
        <v>45975</v>
      </c>
      <c r="D102" s="2">
        <v>45977</v>
      </c>
      <c r="E102">
        <v>105</v>
      </c>
      <c r="F102" t="s">
        <v>38</v>
      </c>
      <c r="G102" t="s">
        <v>27</v>
      </c>
      <c r="H102" t="s">
        <v>29</v>
      </c>
      <c r="I102">
        <v>2</v>
      </c>
      <c r="J102" s="3">
        <v>88.5</v>
      </c>
      <c r="K102" s="3">
        <v>8.5</v>
      </c>
      <c r="L102" t="s">
        <v>18</v>
      </c>
      <c r="M102" t="s">
        <v>19</v>
      </c>
      <c r="N102" s="4">
        <v>4</v>
      </c>
    </row>
    <row r="103" spans="1:14">
      <c r="A103" t="s">
        <v>148</v>
      </c>
      <c r="B103" s="2">
        <v>45706</v>
      </c>
      <c r="C103" s="2">
        <v>45722</v>
      </c>
      <c r="D103" s="2">
        <v>45723</v>
      </c>
      <c r="E103">
        <v>215</v>
      </c>
      <c r="F103" t="s">
        <v>15</v>
      </c>
      <c r="G103" t="s">
        <v>39</v>
      </c>
      <c r="H103" t="s">
        <v>33</v>
      </c>
      <c r="I103">
        <v>2</v>
      </c>
      <c r="J103" s="3">
        <v>115.11</v>
      </c>
      <c r="K103" s="3">
        <v>8.5</v>
      </c>
      <c r="L103" t="s">
        <v>18</v>
      </c>
      <c r="M103" t="s">
        <v>44</v>
      </c>
      <c r="N103" s="4">
        <v>4</v>
      </c>
    </row>
    <row r="104" spans="1:14">
      <c r="A104" t="s">
        <v>149</v>
      </c>
      <c r="B104" s="2">
        <v>45906</v>
      </c>
      <c r="C104" s="2">
        <v>45963</v>
      </c>
      <c r="D104" s="2">
        <v>45965</v>
      </c>
      <c r="E104">
        <v>207</v>
      </c>
      <c r="F104" t="s">
        <v>43</v>
      </c>
      <c r="G104" t="s">
        <v>39</v>
      </c>
      <c r="H104" t="s">
        <v>21</v>
      </c>
      <c r="I104">
        <v>2</v>
      </c>
      <c r="J104" s="3">
        <v>93.48</v>
      </c>
      <c r="K104" s="3">
        <v>8.5</v>
      </c>
      <c r="L104" t="s">
        <v>18</v>
      </c>
      <c r="M104" t="s">
        <v>19</v>
      </c>
      <c r="N104" s="4">
        <v>4</v>
      </c>
    </row>
    <row r="105" spans="1:14">
      <c r="A105" t="s">
        <v>150</v>
      </c>
      <c r="B105" s="2">
        <v>45874</v>
      </c>
      <c r="C105" s="2">
        <v>45890</v>
      </c>
      <c r="D105" s="2">
        <v>45894</v>
      </c>
      <c r="E105">
        <v>204</v>
      </c>
      <c r="F105" t="s">
        <v>43</v>
      </c>
      <c r="G105" t="s">
        <v>27</v>
      </c>
      <c r="H105" t="s">
        <v>21</v>
      </c>
      <c r="I105">
        <v>4</v>
      </c>
      <c r="J105" s="3">
        <v>78.97</v>
      </c>
      <c r="K105" s="3">
        <v>8.5</v>
      </c>
      <c r="L105" t="s">
        <v>18</v>
      </c>
      <c r="M105" t="s">
        <v>19</v>
      </c>
      <c r="N105" s="4">
        <v>3</v>
      </c>
    </row>
    <row r="106" spans="1:14">
      <c r="A106" t="s">
        <v>151</v>
      </c>
      <c r="B106" s="2">
        <v>45897</v>
      </c>
      <c r="C106" s="2">
        <v>45895</v>
      </c>
      <c r="D106" s="2">
        <v>45896</v>
      </c>
      <c r="E106">
        <v>114</v>
      </c>
      <c r="F106" t="s">
        <v>43</v>
      </c>
      <c r="G106" t="s">
        <v>24</v>
      </c>
      <c r="H106" t="s">
        <v>25</v>
      </c>
      <c r="I106">
        <v>2</v>
      </c>
      <c r="J106" s="3">
        <v>76.09</v>
      </c>
      <c r="K106" s="3">
        <v>8.5</v>
      </c>
      <c r="L106" t="s">
        <v>18</v>
      </c>
      <c r="M106" t="s">
        <v>19</v>
      </c>
      <c r="N106" s="4">
        <v>3</v>
      </c>
    </row>
    <row r="107" spans="1:14">
      <c r="A107" t="s">
        <v>152</v>
      </c>
      <c r="B107" s="2">
        <v>45908</v>
      </c>
      <c r="C107" s="2">
        <v>45946</v>
      </c>
      <c r="D107" s="2">
        <v>45948</v>
      </c>
      <c r="E107">
        <v>114</v>
      </c>
      <c r="F107" t="s">
        <v>15</v>
      </c>
      <c r="G107" t="s">
        <v>27</v>
      </c>
      <c r="H107" t="s">
        <v>25</v>
      </c>
      <c r="I107">
        <v>2</v>
      </c>
      <c r="J107" s="3">
        <v>118.66</v>
      </c>
      <c r="K107" s="3">
        <v>8.5</v>
      </c>
      <c r="L107" t="s">
        <v>18</v>
      </c>
      <c r="M107" t="s">
        <v>19</v>
      </c>
      <c r="N107" s="4">
        <v>4</v>
      </c>
    </row>
    <row r="108" spans="1:14">
      <c r="A108" t="s">
        <v>153</v>
      </c>
      <c r="B108" s="2">
        <v>45712</v>
      </c>
      <c r="C108" s="2">
        <v>45729</v>
      </c>
      <c r="D108" s="2">
        <v>45734</v>
      </c>
      <c r="E108">
        <v>112</v>
      </c>
      <c r="F108" t="s">
        <v>43</v>
      </c>
      <c r="G108" t="s">
        <v>24</v>
      </c>
      <c r="H108" t="s">
        <v>17</v>
      </c>
      <c r="I108">
        <v>1</v>
      </c>
      <c r="J108" s="3">
        <v>78.959999999999994</v>
      </c>
      <c r="K108" s="3">
        <v>8.5</v>
      </c>
      <c r="L108" t="s">
        <v>34</v>
      </c>
      <c r="M108" t="s">
        <v>44</v>
      </c>
      <c r="N108" s="4"/>
    </row>
    <row r="109" spans="1:14">
      <c r="A109" t="s">
        <v>154</v>
      </c>
      <c r="B109" s="2">
        <v>45654</v>
      </c>
      <c r="C109" s="2">
        <v>45671</v>
      </c>
      <c r="D109" s="2">
        <v>45673</v>
      </c>
      <c r="E109">
        <v>104</v>
      </c>
      <c r="F109" t="s">
        <v>15</v>
      </c>
      <c r="G109" t="s">
        <v>39</v>
      </c>
      <c r="H109" t="s">
        <v>21</v>
      </c>
      <c r="I109">
        <v>1</v>
      </c>
      <c r="J109" s="3">
        <v>117.37</v>
      </c>
      <c r="K109" s="3">
        <v>8.5</v>
      </c>
      <c r="L109" t="s">
        <v>18</v>
      </c>
      <c r="M109" t="s">
        <v>19</v>
      </c>
      <c r="N109" s="4">
        <v>5</v>
      </c>
    </row>
    <row r="110" spans="1:14">
      <c r="A110" t="s">
        <v>155</v>
      </c>
      <c r="B110" s="2">
        <v>45937</v>
      </c>
      <c r="C110" s="2">
        <v>45966</v>
      </c>
      <c r="D110" s="2">
        <v>45967</v>
      </c>
      <c r="E110">
        <v>213</v>
      </c>
      <c r="F110" t="s">
        <v>15</v>
      </c>
      <c r="G110" t="s">
        <v>24</v>
      </c>
      <c r="H110" t="s">
        <v>29</v>
      </c>
      <c r="I110">
        <v>4</v>
      </c>
      <c r="J110" s="3">
        <v>110.64</v>
      </c>
      <c r="K110" s="3">
        <v>8.5</v>
      </c>
      <c r="L110" t="s">
        <v>18</v>
      </c>
      <c r="M110" t="s">
        <v>44</v>
      </c>
      <c r="N110" s="4">
        <v>3</v>
      </c>
    </row>
    <row r="111" spans="1:14">
      <c r="A111" t="s">
        <v>156</v>
      </c>
      <c r="B111" s="2">
        <v>45880</v>
      </c>
      <c r="C111" s="2">
        <v>45908</v>
      </c>
      <c r="D111" s="2">
        <v>45912</v>
      </c>
      <c r="E111">
        <v>107</v>
      </c>
      <c r="F111" t="s">
        <v>38</v>
      </c>
      <c r="G111" t="s">
        <v>39</v>
      </c>
      <c r="H111" t="s">
        <v>46</v>
      </c>
      <c r="I111">
        <v>1</v>
      </c>
      <c r="J111" s="3">
        <v>94.66</v>
      </c>
      <c r="K111" s="3">
        <v>8.5</v>
      </c>
      <c r="L111" t="s">
        <v>18</v>
      </c>
      <c r="M111" t="s">
        <v>19</v>
      </c>
      <c r="N111" s="4">
        <v>5</v>
      </c>
    </row>
    <row r="112" spans="1:14">
      <c r="A112" t="s">
        <v>157</v>
      </c>
      <c r="B112" s="2">
        <v>45951</v>
      </c>
      <c r="C112" s="2">
        <v>45987</v>
      </c>
      <c r="D112" s="2">
        <v>45992</v>
      </c>
      <c r="E112">
        <v>201</v>
      </c>
      <c r="F112" t="s">
        <v>38</v>
      </c>
      <c r="G112" t="s">
        <v>27</v>
      </c>
      <c r="H112" t="s">
        <v>33</v>
      </c>
      <c r="I112">
        <v>8</v>
      </c>
      <c r="J112" s="3">
        <v>103.16</v>
      </c>
      <c r="K112" s="3">
        <v>8.5</v>
      </c>
      <c r="L112" t="s">
        <v>18</v>
      </c>
      <c r="M112" t="s">
        <v>19</v>
      </c>
      <c r="N112" s="4">
        <v>5</v>
      </c>
    </row>
    <row r="113" spans="1:14">
      <c r="A113" t="s">
        <v>158</v>
      </c>
      <c r="B113" s="2">
        <v>45949</v>
      </c>
      <c r="C113" s="2">
        <v>45996</v>
      </c>
      <c r="D113" s="2">
        <v>46001</v>
      </c>
      <c r="E113">
        <v>114</v>
      </c>
      <c r="F113" t="s">
        <v>38</v>
      </c>
      <c r="G113" t="s">
        <v>39</v>
      </c>
      <c r="H113" t="s">
        <v>17</v>
      </c>
      <c r="I113">
        <v>2</v>
      </c>
      <c r="J113" s="3">
        <v>95.17</v>
      </c>
      <c r="K113" s="3">
        <v>8.5</v>
      </c>
      <c r="L113" t="s">
        <v>18</v>
      </c>
      <c r="M113" t="s">
        <v>19</v>
      </c>
      <c r="N113" s="4">
        <v>3</v>
      </c>
    </row>
    <row r="114" spans="1:14">
      <c r="A114" t="s">
        <v>159</v>
      </c>
      <c r="B114" s="2">
        <v>45802</v>
      </c>
      <c r="C114" s="2">
        <v>45823</v>
      </c>
      <c r="D114" s="2">
        <v>45827</v>
      </c>
      <c r="E114">
        <v>117</v>
      </c>
      <c r="F114" t="s">
        <v>23</v>
      </c>
      <c r="G114" t="s">
        <v>16</v>
      </c>
      <c r="H114" t="s">
        <v>29</v>
      </c>
      <c r="I114">
        <v>2</v>
      </c>
      <c r="J114" s="3">
        <v>112.35</v>
      </c>
      <c r="K114" s="3">
        <v>8.5</v>
      </c>
      <c r="L114" t="s">
        <v>34</v>
      </c>
      <c r="M114" t="s">
        <v>35</v>
      </c>
      <c r="N114" s="4"/>
    </row>
    <row r="115" spans="1:14">
      <c r="A115" t="s">
        <v>160</v>
      </c>
      <c r="B115" s="2">
        <v>45836</v>
      </c>
      <c r="C115" s="2">
        <v>45884</v>
      </c>
      <c r="D115" s="2">
        <v>45885</v>
      </c>
      <c r="E115">
        <v>204</v>
      </c>
      <c r="F115" t="s">
        <v>15</v>
      </c>
      <c r="G115" t="s">
        <v>24</v>
      </c>
      <c r="H115" t="s">
        <v>21</v>
      </c>
      <c r="I115">
        <v>3</v>
      </c>
      <c r="J115" s="3">
        <v>111.85</v>
      </c>
      <c r="K115" s="3">
        <v>8.5</v>
      </c>
      <c r="L115" t="s">
        <v>18</v>
      </c>
      <c r="M115" t="s">
        <v>19</v>
      </c>
      <c r="N115" s="4">
        <v>5</v>
      </c>
    </row>
    <row r="116" spans="1:14">
      <c r="A116" t="s">
        <v>161</v>
      </c>
      <c r="B116" s="2">
        <v>45860</v>
      </c>
      <c r="C116" s="2">
        <v>45879</v>
      </c>
      <c r="D116" s="2">
        <v>45880</v>
      </c>
      <c r="E116">
        <v>219</v>
      </c>
      <c r="F116" t="s">
        <v>23</v>
      </c>
      <c r="G116" t="s">
        <v>27</v>
      </c>
      <c r="H116" t="s">
        <v>46</v>
      </c>
      <c r="I116">
        <v>3</v>
      </c>
      <c r="J116" s="3">
        <v>127.76</v>
      </c>
      <c r="K116" s="3">
        <v>8.5</v>
      </c>
      <c r="L116" t="s">
        <v>18</v>
      </c>
      <c r="M116" t="s">
        <v>19</v>
      </c>
      <c r="N116" s="4">
        <v>3</v>
      </c>
    </row>
    <row r="117" spans="1:14">
      <c r="A117" t="s">
        <v>162</v>
      </c>
      <c r="B117" s="2">
        <v>45818</v>
      </c>
      <c r="C117" s="2">
        <v>45842</v>
      </c>
      <c r="D117" s="2">
        <v>45847</v>
      </c>
      <c r="E117">
        <v>108</v>
      </c>
      <c r="F117" t="s">
        <v>23</v>
      </c>
      <c r="G117" t="s">
        <v>16</v>
      </c>
      <c r="H117" t="s">
        <v>25</v>
      </c>
      <c r="I117">
        <v>2</v>
      </c>
      <c r="J117" s="3">
        <v>139.58000000000001</v>
      </c>
      <c r="K117" s="3">
        <v>8.5</v>
      </c>
      <c r="L117" t="s">
        <v>51</v>
      </c>
      <c r="M117" t="s">
        <v>44</v>
      </c>
      <c r="N117" s="4"/>
    </row>
    <row r="118" spans="1:14">
      <c r="A118" t="s">
        <v>163</v>
      </c>
      <c r="B118" s="2">
        <v>45972</v>
      </c>
      <c r="C118" s="2">
        <v>45974</v>
      </c>
      <c r="D118" s="2">
        <v>45977</v>
      </c>
      <c r="E118">
        <v>112</v>
      </c>
      <c r="F118" t="s">
        <v>23</v>
      </c>
      <c r="G118" t="s">
        <v>27</v>
      </c>
      <c r="H118" t="s">
        <v>70</v>
      </c>
      <c r="I118">
        <v>2</v>
      </c>
      <c r="J118" s="3">
        <v>110.21</v>
      </c>
      <c r="K118" s="3">
        <v>8.5</v>
      </c>
      <c r="L118" t="s">
        <v>34</v>
      </c>
      <c r="M118" t="s">
        <v>44</v>
      </c>
      <c r="N118" s="4"/>
    </row>
    <row r="119" spans="1:14">
      <c r="A119" t="s">
        <v>164</v>
      </c>
      <c r="B119" s="2">
        <v>45650</v>
      </c>
      <c r="C119" s="2">
        <v>45698</v>
      </c>
      <c r="D119" s="2">
        <v>45700</v>
      </c>
      <c r="E119">
        <v>102</v>
      </c>
      <c r="F119" t="s">
        <v>43</v>
      </c>
      <c r="G119" t="s">
        <v>16</v>
      </c>
      <c r="H119" t="s">
        <v>33</v>
      </c>
      <c r="I119">
        <v>2</v>
      </c>
      <c r="J119" s="3">
        <v>81.34</v>
      </c>
      <c r="K119" s="3">
        <v>8.5</v>
      </c>
      <c r="L119" t="s">
        <v>18</v>
      </c>
      <c r="M119" t="s">
        <v>19</v>
      </c>
      <c r="N119" s="4">
        <v>4</v>
      </c>
    </row>
    <row r="120" spans="1:14">
      <c r="A120" t="s">
        <v>165</v>
      </c>
      <c r="B120" s="2">
        <v>45947</v>
      </c>
      <c r="C120" s="2">
        <v>45953</v>
      </c>
      <c r="D120" s="2">
        <v>45958</v>
      </c>
      <c r="E120">
        <v>104</v>
      </c>
      <c r="F120" t="s">
        <v>15</v>
      </c>
      <c r="G120" t="s">
        <v>16</v>
      </c>
      <c r="H120" t="s">
        <v>25</v>
      </c>
      <c r="I120">
        <v>3</v>
      </c>
      <c r="J120" s="3">
        <v>96.49</v>
      </c>
      <c r="K120" s="3">
        <v>8.5</v>
      </c>
      <c r="L120" t="s">
        <v>18</v>
      </c>
      <c r="M120" t="s">
        <v>19</v>
      </c>
      <c r="N120" s="4">
        <v>4</v>
      </c>
    </row>
    <row r="121" spans="1:14">
      <c r="A121" t="s">
        <v>166</v>
      </c>
      <c r="B121" s="2">
        <v>45882</v>
      </c>
      <c r="C121" s="2">
        <v>45911</v>
      </c>
      <c r="D121" s="2">
        <v>45916</v>
      </c>
      <c r="E121">
        <v>207</v>
      </c>
      <c r="F121" t="s">
        <v>23</v>
      </c>
      <c r="G121" t="s">
        <v>16</v>
      </c>
      <c r="H121" t="s">
        <v>25</v>
      </c>
      <c r="I121">
        <v>3</v>
      </c>
      <c r="J121" s="3">
        <v>113.98</v>
      </c>
      <c r="K121" s="3">
        <v>8.5</v>
      </c>
      <c r="L121" t="s">
        <v>18</v>
      </c>
      <c r="M121" t="s">
        <v>19</v>
      </c>
      <c r="N121" s="4">
        <v>5</v>
      </c>
    </row>
    <row r="122" spans="1:14">
      <c r="A122" t="s">
        <v>50</v>
      </c>
      <c r="B122" s="2">
        <v>45769</v>
      </c>
      <c r="C122" s="2">
        <v>45785</v>
      </c>
      <c r="D122" s="2">
        <v>45786</v>
      </c>
      <c r="E122">
        <v>217</v>
      </c>
      <c r="F122" t="s">
        <v>43</v>
      </c>
      <c r="G122" t="s">
        <v>24</v>
      </c>
      <c r="H122" t="s">
        <v>29</v>
      </c>
      <c r="I122">
        <v>2</v>
      </c>
      <c r="J122" s="3">
        <v>90.4</v>
      </c>
      <c r="K122" s="3">
        <v>8.5</v>
      </c>
      <c r="L122" t="s">
        <v>51</v>
      </c>
      <c r="M122" t="s">
        <v>44</v>
      </c>
      <c r="N122" s="4"/>
    </row>
    <row r="123" spans="1:14">
      <c r="A123" t="s">
        <v>92</v>
      </c>
      <c r="B123" s="2">
        <v>45965</v>
      </c>
      <c r="C123" s="2">
        <v>45983</v>
      </c>
      <c r="D123" s="2">
        <v>45985</v>
      </c>
      <c r="E123">
        <v>209</v>
      </c>
      <c r="F123" t="s">
        <v>43</v>
      </c>
      <c r="G123" t="s">
        <v>27</v>
      </c>
      <c r="H123" t="s">
        <v>17</v>
      </c>
      <c r="I123">
        <v>2</v>
      </c>
      <c r="J123" s="3">
        <v>78.400000000000006</v>
      </c>
      <c r="K123" s="3">
        <v>8.5</v>
      </c>
      <c r="L123" t="s">
        <v>34</v>
      </c>
      <c r="M123" t="s">
        <v>35</v>
      </c>
      <c r="N123" s="4"/>
    </row>
    <row r="124" spans="1:14">
      <c r="A124" t="s">
        <v>125</v>
      </c>
      <c r="B124" s="2">
        <v>45633</v>
      </c>
      <c r="C124" s="2">
        <v>45663</v>
      </c>
      <c r="D124" s="2">
        <v>45668</v>
      </c>
      <c r="E124">
        <v>207</v>
      </c>
      <c r="F124" t="s">
        <v>43</v>
      </c>
      <c r="G124" t="s">
        <v>16</v>
      </c>
      <c r="H124" t="s">
        <v>21</v>
      </c>
      <c r="I124">
        <v>2</v>
      </c>
      <c r="J124" s="3">
        <v>85.57</v>
      </c>
      <c r="K124" s="3">
        <v>8.5</v>
      </c>
      <c r="L124" t="s">
        <v>18</v>
      </c>
      <c r="M124" t="s">
        <v>19</v>
      </c>
      <c r="N124" s="4">
        <v>3</v>
      </c>
    </row>
  </sheetData>
  <conditionalFormatting sqref="A2:N124">
    <cfRule type="expression" dxfId="4" priority="1">
      <formula>COUNTBLANK($A2:$N2)&gt;0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0EE6F-E220-8946-B9DF-20BBCCB8CDD4}">
  <dimension ref="A1:R121"/>
  <sheetViews>
    <sheetView zoomScale="75" zoomScaleNormal="75" workbookViewId="0">
      <pane ySplit="1" topLeftCell="A6" activePane="bottomLeft" state="frozen"/>
      <selection pane="bottomLeft"/>
    </sheetView>
  </sheetViews>
  <sheetFormatPr baseColWidth="10" defaultRowHeight="14"/>
  <cols>
    <col min="1" max="1" width="14.1640625" bestFit="1" customWidth="1"/>
    <col min="2" max="2" width="16.83203125" bestFit="1" customWidth="1"/>
    <col min="3" max="3" width="17" bestFit="1" customWidth="1"/>
    <col min="4" max="4" width="14.33203125" bestFit="1" customWidth="1"/>
    <col min="5" max="5" width="18.33203125" bestFit="1" customWidth="1"/>
    <col min="6" max="6" width="17.1640625" bestFit="1" customWidth="1"/>
    <col min="7" max="7" width="10" bestFit="1" customWidth="1"/>
    <col min="8" max="8" width="20.1640625" bestFit="1" customWidth="1"/>
    <col min="9" max="9" width="18.83203125" bestFit="1" customWidth="1"/>
    <col min="10" max="11" width="18" bestFit="1" customWidth="1"/>
    <col min="12" max="12" width="15.83203125" bestFit="1" customWidth="1"/>
    <col min="13" max="13" width="16.1640625" bestFit="1" customWidth="1"/>
    <col min="14" max="14" width="18.5" bestFit="1" customWidth="1"/>
    <col min="15" max="15" width="10" bestFit="1" customWidth="1"/>
    <col min="16" max="16" width="26.5" bestFit="1" customWidth="1"/>
  </cols>
  <sheetData>
    <row r="1" spans="1:18">
      <c r="A1" t="s">
        <v>0</v>
      </c>
      <c r="B1" t="s">
        <v>2</v>
      </c>
      <c r="C1" t="s">
        <v>4</v>
      </c>
      <c r="D1" t="s">
        <v>5</v>
      </c>
      <c r="E1" t="s">
        <v>6</v>
      </c>
      <c r="F1" t="s">
        <v>7</v>
      </c>
      <c r="G1" t="s">
        <v>8</v>
      </c>
      <c r="H1" t="s">
        <v>9</v>
      </c>
      <c r="I1" t="s">
        <v>10</v>
      </c>
      <c r="J1" t="s">
        <v>11</v>
      </c>
      <c r="K1" t="s">
        <v>12</v>
      </c>
      <c r="L1" t="s">
        <v>13</v>
      </c>
      <c r="M1" t="s">
        <v>1</v>
      </c>
      <c r="N1" t="s">
        <v>3</v>
      </c>
      <c r="O1" t="s">
        <v>200</v>
      </c>
      <c r="P1" t="s">
        <v>201</v>
      </c>
    </row>
    <row r="2" spans="1:18">
      <c r="A2" t="s">
        <v>144</v>
      </c>
      <c r="B2" s="6">
        <v>45934</v>
      </c>
      <c r="C2">
        <v>118</v>
      </c>
      <c r="D2" t="s">
        <v>15</v>
      </c>
      <c r="E2" t="s">
        <v>27</v>
      </c>
      <c r="F2" t="s">
        <v>25</v>
      </c>
      <c r="G2">
        <v>2</v>
      </c>
      <c r="H2">
        <v>124.02</v>
      </c>
      <c r="I2">
        <v>8.5</v>
      </c>
      <c r="J2" t="s">
        <v>18</v>
      </c>
      <c r="K2" t="s">
        <v>19</v>
      </c>
      <c r="L2">
        <v>3</v>
      </c>
      <c r="M2" s="6">
        <v>45875</v>
      </c>
      <c r="N2" s="6">
        <v>45939</v>
      </c>
      <c r="O2">
        <v>5</v>
      </c>
      <c r="P2">
        <v>628.6</v>
      </c>
    </row>
    <row r="3" spans="1:18">
      <c r="A3" t="s">
        <v>109</v>
      </c>
      <c r="B3" s="6">
        <v>45946</v>
      </c>
      <c r="C3">
        <v>208</v>
      </c>
      <c r="D3" t="s">
        <v>23</v>
      </c>
      <c r="E3" t="s">
        <v>27</v>
      </c>
      <c r="F3" t="s">
        <v>29</v>
      </c>
      <c r="G3">
        <v>2</v>
      </c>
      <c r="H3">
        <v>119.48</v>
      </c>
      <c r="I3">
        <v>8.5</v>
      </c>
      <c r="J3" t="s">
        <v>18</v>
      </c>
      <c r="K3" t="s">
        <v>19</v>
      </c>
      <c r="L3">
        <v>4</v>
      </c>
      <c r="M3" s="6">
        <v>45923</v>
      </c>
      <c r="N3" s="6">
        <v>45951</v>
      </c>
      <c r="O3">
        <v>5</v>
      </c>
      <c r="P3">
        <v>605.9</v>
      </c>
    </row>
    <row r="4" spans="1:18">
      <c r="A4" t="s">
        <v>105</v>
      </c>
      <c r="B4" s="6">
        <v>45900</v>
      </c>
      <c r="C4">
        <v>205</v>
      </c>
      <c r="D4" t="s">
        <v>23</v>
      </c>
      <c r="E4" t="s">
        <v>24</v>
      </c>
      <c r="F4" t="s">
        <v>33</v>
      </c>
      <c r="G4">
        <v>2</v>
      </c>
      <c r="H4">
        <v>116.36</v>
      </c>
      <c r="I4">
        <v>8.5</v>
      </c>
      <c r="J4" t="s">
        <v>18</v>
      </c>
      <c r="K4" t="s">
        <v>44</v>
      </c>
      <c r="L4">
        <v>4</v>
      </c>
      <c r="M4" s="6">
        <v>45860</v>
      </c>
      <c r="N4" s="6">
        <v>45905</v>
      </c>
      <c r="O4">
        <v>5</v>
      </c>
      <c r="P4">
        <v>590.29999999999995</v>
      </c>
    </row>
    <row r="5" spans="1:18">
      <c r="A5" t="s">
        <v>166</v>
      </c>
      <c r="B5" s="6">
        <v>45911</v>
      </c>
      <c r="C5">
        <v>207</v>
      </c>
      <c r="D5" t="s">
        <v>23</v>
      </c>
      <c r="E5" t="s">
        <v>16</v>
      </c>
      <c r="F5" t="s">
        <v>25</v>
      </c>
      <c r="G5">
        <v>3</v>
      </c>
      <c r="H5">
        <v>113.98</v>
      </c>
      <c r="I5">
        <v>8.5</v>
      </c>
      <c r="J5" t="s">
        <v>18</v>
      </c>
      <c r="K5" t="s">
        <v>19</v>
      </c>
      <c r="L5">
        <v>5</v>
      </c>
      <c r="M5" s="6">
        <v>45882</v>
      </c>
      <c r="N5" s="6">
        <v>45916</v>
      </c>
      <c r="O5">
        <v>5</v>
      </c>
      <c r="P5">
        <v>578.4</v>
      </c>
    </row>
    <row r="6" spans="1:18">
      <c r="A6" t="s">
        <v>28</v>
      </c>
      <c r="B6" s="6">
        <v>45703</v>
      </c>
      <c r="C6">
        <v>220</v>
      </c>
      <c r="D6" t="s">
        <v>23</v>
      </c>
      <c r="E6" t="s">
        <v>16</v>
      </c>
      <c r="F6" t="s">
        <v>29</v>
      </c>
      <c r="G6">
        <v>1</v>
      </c>
      <c r="H6">
        <v>111.6</v>
      </c>
      <c r="I6">
        <v>8.5</v>
      </c>
      <c r="J6" t="s">
        <v>18</v>
      </c>
      <c r="K6" t="s">
        <v>19</v>
      </c>
      <c r="L6">
        <v>3</v>
      </c>
      <c r="M6" s="6">
        <v>45684</v>
      </c>
      <c r="N6" s="6">
        <v>45708</v>
      </c>
      <c r="O6">
        <v>5</v>
      </c>
      <c r="P6">
        <v>566.5</v>
      </c>
    </row>
    <row r="7" spans="1:18">
      <c r="A7" t="s">
        <v>104</v>
      </c>
      <c r="B7" s="6">
        <v>45910</v>
      </c>
      <c r="C7">
        <v>218</v>
      </c>
      <c r="D7" t="s">
        <v>23</v>
      </c>
      <c r="E7" t="s">
        <v>27</v>
      </c>
      <c r="F7" t="s">
        <v>25</v>
      </c>
      <c r="G7">
        <v>2</v>
      </c>
      <c r="H7">
        <v>139.08000000000001</v>
      </c>
      <c r="I7">
        <v>8.5</v>
      </c>
      <c r="J7" t="s">
        <v>18</v>
      </c>
      <c r="K7" t="s">
        <v>19</v>
      </c>
      <c r="L7">
        <v>4</v>
      </c>
      <c r="M7" s="6">
        <v>45882</v>
      </c>
      <c r="N7" s="6">
        <v>45914</v>
      </c>
      <c r="O7">
        <v>4</v>
      </c>
      <c r="P7">
        <v>564.82000000000005</v>
      </c>
      <c r="R7" t="s">
        <v>19</v>
      </c>
    </row>
    <row r="8" spans="1:18">
      <c r="A8" t="s">
        <v>52</v>
      </c>
      <c r="B8" s="6">
        <v>45728</v>
      </c>
      <c r="C8">
        <v>111</v>
      </c>
      <c r="D8" t="s">
        <v>23</v>
      </c>
      <c r="E8" t="s">
        <v>39</v>
      </c>
      <c r="F8" t="s">
        <v>17</v>
      </c>
      <c r="G8">
        <v>3</v>
      </c>
      <c r="H8">
        <v>136.43</v>
      </c>
      <c r="I8">
        <v>8.5</v>
      </c>
      <c r="J8" t="s">
        <v>18</v>
      </c>
      <c r="K8" t="s">
        <v>19</v>
      </c>
      <c r="L8">
        <v>4</v>
      </c>
      <c r="M8" s="6">
        <v>45692</v>
      </c>
      <c r="N8" s="6">
        <v>45732</v>
      </c>
      <c r="O8">
        <v>4</v>
      </c>
      <c r="P8">
        <v>554.22</v>
      </c>
    </row>
    <row r="9" spans="1:18">
      <c r="A9" t="s">
        <v>62</v>
      </c>
      <c r="B9" s="6">
        <v>46001</v>
      </c>
      <c r="C9">
        <v>113</v>
      </c>
      <c r="D9" t="s">
        <v>23</v>
      </c>
      <c r="E9" t="s">
        <v>16</v>
      </c>
      <c r="F9" t="s">
        <v>46</v>
      </c>
      <c r="G9">
        <v>3</v>
      </c>
      <c r="H9">
        <v>135.75</v>
      </c>
      <c r="I9">
        <v>8.5</v>
      </c>
      <c r="J9" t="s">
        <v>18</v>
      </c>
      <c r="K9" t="s">
        <v>19</v>
      </c>
      <c r="L9">
        <v>3</v>
      </c>
      <c r="M9" s="6">
        <v>45991</v>
      </c>
      <c r="N9" s="6">
        <v>46005</v>
      </c>
      <c r="O9">
        <v>4</v>
      </c>
      <c r="P9">
        <v>551.5</v>
      </c>
    </row>
    <row r="10" spans="1:18">
      <c r="A10" t="s">
        <v>95</v>
      </c>
      <c r="B10" s="6">
        <v>45938</v>
      </c>
      <c r="C10">
        <v>219</v>
      </c>
      <c r="D10" t="s">
        <v>15</v>
      </c>
      <c r="E10" t="s">
        <v>39</v>
      </c>
      <c r="F10" t="s">
        <v>17</v>
      </c>
      <c r="G10">
        <v>2</v>
      </c>
      <c r="H10">
        <v>108.08</v>
      </c>
      <c r="I10">
        <v>8.5</v>
      </c>
      <c r="J10" t="s">
        <v>18</v>
      </c>
      <c r="K10" t="s">
        <v>19</v>
      </c>
      <c r="M10" s="6">
        <v>45886</v>
      </c>
      <c r="N10" s="6">
        <v>45943</v>
      </c>
      <c r="O10">
        <v>5</v>
      </c>
      <c r="P10">
        <v>548.9</v>
      </c>
    </row>
    <row r="11" spans="1:18">
      <c r="A11" t="s">
        <v>139</v>
      </c>
      <c r="B11" s="6">
        <v>45810</v>
      </c>
      <c r="C11">
        <v>105</v>
      </c>
      <c r="D11" t="s">
        <v>38</v>
      </c>
      <c r="E11" t="s">
        <v>27</v>
      </c>
      <c r="F11" t="s">
        <v>21</v>
      </c>
      <c r="G11">
        <v>2</v>
      </c>
      <c r="H11">
        <v>104.17</v>
      </c>
      <c r="I11">
        <v>8.5</v>
      </c>
      <c r="J11" t="s">
        <v>18</v>
      </c>
      <c r="K11" t="s">
        <v>19</v>
      </c>
      <c r="L11">
        <v>4</v>
      </c>
      <c r="M11" s="6">
        <v>45799</v>
      </c>
      <c r="N11" s="6">
        <v>45815</v>
      </c>
      <c r="O11">
        <v>5</v>
      </c>
      <c r="P11">
        <v>529.35</v>
      </c>
    </row>
    <row r="12" spans="1:18">
      <c r="A12" t="s">
        <v>157</v>
      </c>
      <c r="B12" s="6">
        <v>45987</v>
      </c>
      <c r="C12">
        <v>201</v>
      </c>
      <c r="D12" t="s">
        <v>38</v>
      </c>
      <c r="E12" t="s">
        <v>27</v>
      </c>
      <c r="F12" t="s">
        <v>33</v>
      </c>
      <c r="G12">
        <v>4</v>
      </c>
      <c r="H12">
        <v>103.16</v>
      </c>
      <c r="I12">
        <v>8.5</v>
      </c>
      <c r="J12" t="s">
        <v>18</v>
      </c>
      <c r="K12" t="s">
        <v>19</v>
      </c>
      <c r="L12">
        <v>5</v>
      </c>
      <c r="M12" s="6">
        <v>45951</v>
      </c>
      <c r="N12" s="6">
        <v>45992</v>
      </c>
      <c r="O12">
        <v>5</v>
      </c>
      <c r="P12">
        <v>524.29999999999995</v>
      </c>
    </row>
    <row r="13" spans="1:18">
      <c r="A13" t="s">
        <v>112</v>
      </c>
      <c r="B13" s="6">
        <v>45690</v>
      </c>
      <c r="C13">
        <v>109</v>
      </c>
      <c r="D13" t="s">
        <v>202</v>
      </c>
      <c r="E13" t="s">
        <v>24</v>
      </c>
      <c r="F13" t="s">
        <v>25</v>
      </c>
      <c r="G13">
        <v>1</v>
      </c>
      <c r="H13">
        <v>102.22</v>
      </c>
      <c r="I13">
        <v>8.5</v>
      </c>
      <c r="J13" t="s">
        <v>18</v>
      </c>
      <c r="K13" t="s">
        <v>19</v>
      </c>
      <c r="L13">
        <v>4</v>
      </c>
      <c r="M13" s="6">
        <v>45671</v>
      </c>
      <c r="N13" s="6">
        <v>45695</v>
      </c>
      <c r="O13">
        <v>5</v>
      </c>
      <c r="P13">
        <v>519.6</v>
      </c>
    </row>
    <row r="14" spans="1:18">
      <c r="A14" t="s">
        <v>128</v>
      </c>
      <c r="B14" s="6">
        <v>45812</v>
      </c>
      <c r="C14">
        <v>118</v>
      </c>
      <c r="D14" t="s">
        <v>38</v>
      </c>
      <c r="E14" t="s">
        <v>39</v>
      </c>
      <c r="F14" t="s">
        <v>33</v>
      </c>
      <c r="G14">
        <v>2</v>
      </c>
      <c r="H14">
        <v>98.7</v>
      </c>
      <c r="I14">
        <v>8.5</v>
      </c>
      <c r="J14" t="s">
        <v>18</v>
      </c>
      <c r="K14" t="s">
        <v>19</v>
      </c>
      <c r="L14">
        <v>5</v>
      </c>
      <c r="M14" s="6">
        <v>45766</v>
      </c>
      <c r="N14" s="6">
        <v>45817</v>
      </c>
      <c r="O14">
        <v>5</v>
      </c>
      <c r="P14">
        <v>502</v>
      </c>
    </row>
    <row r="15" spans="1:18">
      <c r="A15" t="s">
        <v>165</v>
      </c>
      <c r="B15" s="6">
        <v>45953</v>
      </c>
      <c r="C15">
        <v>104</v>
      </c>
      <c r="D15" t="s">
        <v>15</v>
      </c>
      <c r="E15" t="s">
        <v>16</v>
      </c>
      <c r="F15" t="s">
        <v>25</v>
      </c>
      <c r="G15">
        <v>3</v>
      </c>
      <c r="H15">
        <v>96.49</v>
      </c>
      <c r="I15">
        <v>8.5</v>
      </c>
      <c r="J15" t="s">
        <v>18</v>
      </c>
      <c r="K15" t="s">
        <v>19</v>
      </c>
      <c r="L15">
        <v>4</v>
      </c>
      <c r="M15" s="6">
        <v>45947</v>
      </c>
      <c r="N15" s="6">
        <v>45958</v>
      </c>
      <c r="O15">
        <v>5</v>
      </c>
      <c r="P15">
        <v>490.95</v>
      </c>
    </row>
    <row r="16" spans="1:18">
      <c r="A16" t="s">
        <v>63</v>
      </c>
      <c r="B16" s="6">
        <v>45962</v>
      </c>
      <c r="C16">
        <v>214</v>
      </c>
      <c r="D16" t="s">
        <v>15</v>
      </c>
      <c r="E16" t="s">
        <v>24</v>
      </c>
      <c r="F16" t="s">
        <v>21</v>
      </c>
      <c r="G16">
        <v>1</v>
      </c>
      <c r="H16">
        <v>120.54</v>
      </c>
      <c r="I16">
        <v>8.5</v>
      </c>
      <c r="J16" t="s">
        <v>18</v>
      </c>
      <c r="K16" t="s">
        <v>19</v>
      </c>
      <c r="L16">
        <v>4</v>
      </c>
      <c r="M16" s="6">
        <v>45929</v>
      </c>
      <c r="N16" s="6">
        <v>45966</v>
      </c>
      <c r="O16">
        <v>4</v>
      </c>
      <c r="P16">
        <v>490.66</v>
      </c>
    </row>
    <row r="17" spans="1:16">
      <c r="A17" t="s">
        <v>158</v>
      </c>
      <c r="B17" s="6">
        <v>45996</v>
      </c>
      <c r="C17">
        <v>114</v>
      </c>
      <c r="D17" t="s">
        <v>38</v>
      </c>
      <c r="E17" t="s">
        <v>39</v>
      </c>
      <c r="F17" t="s">
        <v>17</v>
      </c>
      <c r="G17">
        <v>2</v>
      </c>
      <c r="H17">
        <v>95.17</v>
      </c>
      <c r="I17">
        <v>8.5</v>
      </c>
      <c r="J17" t="s">
        <v>18</v>
      </c>
      <c r="K17" t="s">
        <v>19</v>
      </c>
      <c r="L17">
        <v>3</v>
      </c>
      <c r="M17" s="6">
        <v>45949</v>
      </c>
      <c r="N17" s="6">
        <v>46001</v>
      </c>
      <c r="O17">
        <v>5</v>
      </c>
      <c r="P17">
        <v>484.35</v>
      </c>
    </row>
    <row r="18" spans="1:16">
      <c r="A18" t="s">
        <v>134</v>
      </c>
      <c r="B18" s="6">
        <v>46008</v>
      </c>
      <c r="C18">
        <v>201</v>
      </c>
      <c r="D18" t="s">
        <v>38</v>
      </c>
      <c r="E18" t="s">
        <v>24</v>
      </c>
      <c r="F18" t="s">
        <v>21</v>
      </c>
      <c r="G18">
        <v>1</v>
      </c>
      <c r="H18">
        <v>92.04</v>
      </c>
      <c r="I18">
        <v>8.5</v>
      </c>
      <c r="J18" t="s">
        <v>18</v>
      </c>
      <c r="K18" t="s">
        <v>19</v>
      </c>
      <c r="L18">
        <v>4</v>
      </c>
      <c r="M18" s="6">
        <v>45983</v>
      </c>
      <c r="N18" s="6">
        <v>46013</v>
      </c>
      <c r="O18">
        <v>5</v>
      </c>
      <c r="P18">
        <v>468.70000000000005</v>
      </c>
    </row>
    <row r="19" spans="1:16">
      <c r="A19" t="s">
        <v>71</v>
      </c>
      <c r="B19" s="6">
        <v>45798</v>
      </c>
      <c r="C19">
        <v>117</v>
      </c>
      <c r="D19" t="s">
        <v>43</v>
      </c>
      <c r="E19" t="s">
        <v>24</v>
      </c>
      <c r="F19" t="s">
        <v>29</v>
      </c>
      <c r="G19">
        <v>2</v>
      </c>
      <c r="H19">
        <v>90.73</v>
      </c>
      <c r="I19">
        <v>8.5</v>
      </c>
      <c r="J19" t="s">
        <v>18</v>
      </c>
      <c r="K19" t="s">
        <v>19</v>
      </c>
      <c r="L19">
        <v>4</v>
      </c>
      <c r="M19" s="6">
        <v>45766</v>
      </c>
      <c r="N19" s="6">
        <v>45803</v>
      </c>
      <c r="O19">
        <v>5</v>
      </c>
      <c r="P19">
        <v>462.15000000000003</v>
      </c>
    </row>
    <row r="20" spans="1:16">
      <c r="A20" t="s">
        <v>103</v>
      </c>
      <c r="B20" s="6">
        <v>45717</v>
      </c>
      <c r="C20">
        <v>210</v>
      </c>
      <c r="D20" t="s">
        <v>15</v>
      </c>
      <c r="E20" t="s">
        <v>39</v>
      </c>
      <c r="F20" t="s">
        <v>17</v>
      </c>
      <c r="G20">
        <v>4</v>
      </c>
      <c r="H20">
        <v>110.65</v>
      </c>
      <c r="I20">
        <v>8.5</v>
      </c>
      <c r="J20" t="s">
        <v>18</v>
      </c>
      <c r="K20" t="s">
        <v>19</v>
      </c>
      <c r="L20">
        <v>5</v>
      </c>
      <c r="M20" s="6">
        <v>45693</v>
      </c>
      <c r="N20" s="6">
        <v>45721</v>
      </c>
      <c r="O20">
        <v>4</v>
      </c>
      <c r="P20">
        <v>451.1</v>
      </c>
    </row>
    <row r="21" spans="1:16">
      <c r="A21" t="s">
        <v>107</v>
      </c>
      <c r="B21" s="6">
        <v>45806</v>
      </c>
      <c r="C21">
        <v>118</v>
      </c>
      <c r="D21" t="s">
        <v>43</v>
      </c>
      <c r="E21" t="s">
        <v>16</v>
      </c>
      <c r="F21" t="s">
        <v>46</v>
      </c>
      <c r="G21">
        <v>2</v>
      </c>
      <c r="H21">
        <v>88</v>
      </c>
      <c r="I21">
        <v>8.5</v>
      </c>
      <c r="J21" t="s">
        <v>18</v>
      </c>
      <c r="K21" t="s">
        <v>19</v>
      </c>
      <c r="L21">
        <v>5</v>
      </c>
      <c r="M21" s="6">
        <v>45761</v>
      </c>
      <c r="N21" s="6">
        <v>45811</v>
      </c>
      <c r="O21">
        <v>5</v>
      </c>
      <c r="P21">
        <v>448.5</v>
      </c>
    </row>
    <row r="22" spans="1:16">
      <c r="A22" t="s">
        <v>125</v>
      </c>
      <c r="B22" s="6">
        <v>45663</v>
      </c>
      <c r="C22">
        <v>207</v>
      </c>
      <c r="D22" t="s">
        <v>43</v>
      </c>
      <c r="E22" t="s">
        <v>16</v>
      </c>
      <c r="F22" t="s">
        <v>21</v>
      </c>
      <c r="G22">
        <v>2</v>
      </c>
      <c r="H22">
        <v>85.57</v>
      </c>
      <c r="I22">
        <v>8.5</v>
      </c>
      <c r="J22" t="s">
        <v>18</v>
      </c>
      <c r="K22" t="s">
        <v>19</v>
      </c>
      <c r="L22">
        <v>3</v>
      </c>
      <c r="M22" s="6">
        <v>45633</v>
      </c>
      <c r="N22" s="6">
        <v>45668</v>
      </c>
      <c r="O22">
        <v>5</v>
      </c>
      <c r="P22">
        <v>436.34999999999997</v>
      </c>
    </row>
    <row r="23" spans="1:16">
      <c r="A23" t="s">
        <v>48</v>
      </c>
      <c r="B23" s="6">
        <v>45797</v>
      </c>
      <c r="C23">
        <v>112</v>
      </c>
      <c r="D23" t="s">
        <v>43</v>
      </c>
      <c r="E23" t="s">
        <v>202</v>
      </c>
      <c r="F23" t="s">
        <v>25</v>
      </c>
      <c r="G23">
        <v>4</v>
      </c>
      <c r="H23">
        <v>82.69</v>
      </c>
      <c r="I23">
        <v>8.5</v>
      </c>
      <c r="J23" t="s">
        <v>18</v>
      </c>
      <c r="K23" t="s">
        <v>19</v>
      </c>
      <c r="L23">
        <v>4</v>
      </c>
      <c r="M23" s="6">
        <v>45748</v>
      </c>
      <c r="N23" s="6">
        <v>45802</v>
      </c>
      <c r="O23">
        <v>5</v>
      </c>
      <c r="P23">
        <v>421.95</v>
      </c>
    </row>
    <row r="24" spans="1:16">
      <c r="A24" t="s">
        <v>130</v>
      </c>
      <c r="B24" s="6">
        <v>45959</v>
      </c>
      <c r="C24">
        <v>110</v>
      </c>
      <c r="D24" t="s">
        <v>38</v>
      </c>
      <c r="E24" t="s">
        <v>39</v>
      </c>
      <c r="F24" t="s">
        <v>70</v>
      </c>
      <c r="G24">
        <v>2</v>
      </c>
      <c r="H24">
        <v>101.56</v>
      </c>
      <c r="I24">
        <v>8.5</v>
      </c>
      <c r="J24" t="s">
        <v>18</v>
      </c>
      <c r="K24" t="s">
        <v>19</v>
      </c>
      <c r="L24">
        <v>4</v>
      </c>
      <c r="M24" s="6">
        <v>45903</v>
      </c>
      <c r="N24" s="6">
        <v>45963</v>
      </c>
      <c r="O24">
        <v>4</v>
      </c>
      <c r="P24">
        <v>414.74</v>
      </c>
    </row>
    <row r="25" spans="1:16">
      <c r="A25" t="s">
        <v>40</v>
      </c>
      <c r="B25" s="6">
        <v>45962</v>
      </c>
      <c r="C25">
        <v>218</v>
      </c>
      <c r="D25" t="s">
        <v>38</v>
      </c>
      <c r="E25" t="s">
        <v>16</v>
      </c>
      <c r="F25" t="s">
        <v>17</v>
      </c>
      <c r="G25">
        <v>2</v>
      </c>
      <c r="H25">
        <v>100.29</v>
      </c>
      <c r="I25">
        <v>8.5</v>
      </c>
      <c r="J25" t="s">
        <v>18</v>
      </c>
      <c r="K25" t="s">
        <v>19</v>
      </c>
      <c r="L25">
        <v>3</v>
      </c>
      <c r="M25" s="6">
        <v>45904</v>
      </c>
      <c r="N25" s="6">
        <v>45966</v>
      </c>
      <c r="O25">
        <v>4</v>
      </c>
      <c r="P25">
        <v>409.66</v>
      </c>
    </row>
    <row r="26" spans="1:16">
      <c r="A26" t="s">
        <v>146</v>
      </c>
      <c r="B26" s="6">
        <v>46007</v>
      </c>
      <c r="C26">
        <v>205</v>
      </c>
      <c r="D26" t="s">
        <v>23</v>
      </c>
      <c r="E26" t="s">
        <v>24</v>
      </c>
      <c r="F26" t="s">
        <v>29</v>
      </c>
      <c r="G26">
        <v>2</v>
      </c>
      <c r="H26">
        <v>126.5</v>
      </c>
      <c r="I26">
        <v>8.5</v>
      </c>
      <c r="J26" t="s">
        <v>18</v>
      </c>
      <c r="K26" t="s">
        <v>44</v>
      </c>
      <c r="L26">
        <v>4</v>
      </c>
      <c r="M26" s="6">
        <v>45969</v>
      </c>
      <c r="N26" s="6">
        <v>46010</v>
      </c>
      <c r="O26">
        <v>3</v>
      </c>
      <c r="P26">
        <v>388</v>
      </c>
    </row>
    <row r="27" spans="1:16">
      <c r="A27" t="s">
        <v>156</v>
      </c>
      <c r="B27" s="6">
        <v>45908</v>
      </c>
      <c r="C27">
        <v>107</v>
      </c>
      <c r="D27" t="s">
        <v>38</v>
      </c>
      <c r="E27" t="s">
        <v>39</v>
      </c>
      <c r="F27" t="s">
        <v>46</v>
      </c>
      <c r="G27">
        <v>1</v>
      </c>
      <c r="H27">
        <v>94.66</v>
      </c>
      <c r="I27">
        <v>8.5</v>
      </c>
      <c r="J27" t="s">
        <v>18</v>
      </c>
      <c r="K27" t="s">
        <v>19</v>
      </c>
      <c r="L27">
        <v>5</v>
      </c>
      <c r="M27" s="6">
        <v>45880</v>
      </c>
      <c r="N27" s="6">
        <v>45912</v>
      </c>
      <c r="O27">
        <v>4</v>
      </c>
      <c r="P27">
        <v>387.14</v>
      </c>
    </row>
    <row r="28" spans="1:16">
      <c r="A28" t="s">
        <v>94</v>
      </c>
      <c r="B28" s="6">
        <v>45878</v>
      </c>
      <c r="C28">
        <v>218</v>
      </c>
      <c r="D28" t="s">
        <v>43</v>
      </c>
      <c r="E28" t="s">
        <v>39</v>
      </c>
      <c r="F28" t="s">
        <v>33</v>
      </c>
      <c r="G28">
        <v>1</v>
      </c>
      <c r="H28">
        <v>93.57</v>
      </c>
      <c r="I28">
        <v>8.5</v>
      </c>
      <c r="J28" t="s">
        <v>18</v>
      </c>
      <c r="K28" t="s">
        <v>19</v>
      </c>
      <c r="L28">
        <v>4</v>
      </c>
      <c r="M28" s="6">
        <v>45820</v>
      </c>
      <c r="N28" s="6">
        <v>45882</v>
      </c>
      <c r="O28">
        <v>4</v>
      </c>
      <c r="P28">
        <v>382.78</v>
      </c>
    </row>
    <row r="29" spans="1:16">
      <c r="A29" t="s">
        <v>111</v>
      </c>
      <c r="B29" s="6">
        <v>45968</v>
      </c>
      <c r="C29">
        <v>113</v>
      </c>
      <c r="D29" t="s">
        <v>23</v>
      </c>
      <c r="E29" t="s">
        <v>16</v>
      </c>
      <c r="F29" t="s">
        <v>70</v>
      </c>
      <c r="G29">
        <v>2</v>
      </c>
      <c r="H29">
        <v>120.58</v>
      </c>
      <c r="I29">
        <v>8.5</v>
      </c>
      <c r="J29" t="s">
        <v>18</v>
      </c>
      <c r="K29" t="s">
        <v>19</v>
      </c>
      <c r="L29">
        <v>3</v>
      </c>
      <c r="M29" s="6">
        <v>45961</v>
      </c>
      <c r="N29" s="6">
        <v>45971</v>
      </c>
      <c r="O29">
        <v>3</v>
      </c>
      <c r="P29">
        <v>370.24</v>
      </c>
    </row>
    <row r="30" spans="1:16">
      <c r="A30" t="s">
        <v>141</v>
      </c>
      <c r="B30" s="6">
        <v>46000</v>
      </c>
      <c r="C30">
        <v>101</v>
      </c>
      <c r="D30" t="s">
        <v>43</v>
      </c>
      <c r="E30" t="s">
        <v>39</v>
      </c>
      <c r="F30" t="s">
        <v>25</v>
      </c>
      <c r="G30">
        <v>2</v>
      </c>
      <c r="H30">
        <v>89.39</v>
      </c>
      <c r="I30">
        <v>8.5</v>
      </c>
      <c r="J30" t="s">
        <v>18</v>
      </c>
      <c r="K30" t="s">
        <v>19</v>
      </c>
      <c r="L30">
        <v>4</v>
      </c>
      <c r="M30" s="6">
        <v>45982</v>
      </c>
      <c r="N30" s="6">
        <v>46004</v>
      </c>
      <c r="O30">
        <v>4</v>
      </c>
      <c r="P30">
        <v>366.06</v>
      </c>
    </row>
    <row r="31" spans="1:16">
      <c r="A31" t="s">
        <v>137</v>
      </c>
      <c r="B31" s="6">
        <v>45846</v>
      </c>
      <c r="C31">
        <v>110</v>
      </c>
      <c r="D31" t="s">
        <v>15</v>
      </c>
      <c r="E31" t="s">
        <v>39</v>
      </c>
      <c r="F31" t="s">
        <v>21</v>
      </c>
      <c r="G31">
        <v>4</v>
      </c>
      <c r="H31">
        <v>118.78</v>
      </c>
      <c r="I31">
        <v>8.5</v>
      </c>
      <c r="J31" t="s">
        <v>18</v>
      </c>
      <c r="K31" t="s">
        <v>19</v>
      </c>
      <c r="L31">
        <v>4</v>
      </c>
      <c r="M31" s="6">
        <v>45818</v>
      </c>
      <c r="N31" s="6">
        <v>45849</v>
      </c>
      <c r="O31">
        <v>3</v>
      </c>
      <c r="P31">
        <v>364.84000000000003</v>
      </c>
    </row>
    <row r="32" spans="1:16">
      <c r="A32" t="s">
        <v>108</v>
      </c>
      <c r="B32" s="6">
        <v>45906</v>
      </c>
      <c r="C32">
        <v>102</v>
      </c>
      <c r="D32" t="s">
        <v>43</v>
      </c>
      <c r="E32" t="s">
        <v>27</v>
      </c>
      <c r="F32" t="s">
        <v>17</v>
      </c>
      <c r="G32">
        <v>2</v>
      </c>
      <c r="H32">
        <v>87.29</v>
      </c>
      <c r="I32">
        <v>8.5</v>
      </c>
      <c r="J32" t="s">
        <v>18</v>
      </c>
      <c r="K32" t="s">
        <v>19</v>
      </c>
      <c r="L32">
        <v>4</v>
      </c>
      <c r="M32" s="6">
        <v>45877</v>
      </c>
      <c r="N32" s="6">
        <v>45910</v>
      </c>
      <c r="O32">
        <v>4</v>
      </c>
      <c r="P32">
        <v>357.66</v>
      </c>
    </row>
    <row r="33" spans="1:16">
      <c r="A33" t="s">
        <v>72</v>
      </c>
      <c r="B33" s="6">
        <v>45989</v>
      </c>
      <c r="C33">
        <v>209</v>
      </c>
      <c r="D33" t="s">
        <v>38</v>
      </c>
      <c r="E33" t="s">
        <v>27</v>
      </c>
      <c r="F33" t="s">
        <v>46</v>
      </c>
      <c r="G33">
        <v>1</v>
      </c>
      <c r="H33">
        <v>113.35</v>
      </c>
      <c r="I33">
        <v>8.5</v>
      </c>
      <c r="J33" t="s">
        <v>18</v>
      </c>
      <c r="K33" t="s">
        <v>19</v>
      </c>
      <c r="L33">
        <v>3</v>
      </c>
      <c r="M33" s="6">
        <v>45978</v>
      </c>
      <c r="N33" s="6">
        <v>45992</v>
      </c>
      <c r="O33">
        <v>3</v>
      </c>
      <c r="P33">
        <v>348.54999999999995</v>
      </c>
    </row>
    <row r="34" spans="1:16">
      <c r="A34" t="s">
        <v>117</v>
      </c>
      <c r="B34" s="6">
        <v>45903</v>
      </c>
      <c r="C34">
        <v>115</v>
      </c>
      <c r="D34" t="s">
        <v>23</v>
      </c>
      <c r="E34" t="s">
        <v>24</v>
      </c>
      <c r="F34" t="s">
        <v>29</v>
      </c>
      <c r="G34">
        <v>2</v>
      </c>
      <c r="H34">
        <v>112.49</v>
      </c>
      <c r="I34">
        <v>8.5</v>
      </c>
      <c r="J34" t="s">
        <v>18</v>
      </c>
      <c r="K34" t="s">
        <v>19</v>
      </c>
      <c r="L34">
        <v>5</v>
      </c>
      <c r="M34" s="6">
        <v>45900</v>
      </c>
      <c r="N34" s="6">
        <v>45906</v>
      </c>
      <c r="O34">
        <v>3</v>
      </c>
      <c r="P34">
        <v>345.96999999999997</v>
      </c>
    </row>
    <row r="35" spans="1:16">
      <c r="A35" t="s">
        <v>67</v>
      </c>
      <c r="B35" s="6">
        <v>45667</v>
      </c>
      <c r="C35">
        <v>217</v>
      </c>
      <c r="D35" t="s">
        <v>43</v>
      </c>
      <c r="E35" t="s">
        <v>24</v>
      </c>
      <c r="F35" t="s">
        <v>21</v>
      </c>
      <c r="G35">
        <v>2</v>
      </c>
      <c r="H35">
        <v>82.65</v>
      </c>
      <c r="I35">
        <v>8.5</v>
      </c>
      <c r="J35" t="s">
        <v>18</v>
      </c>
      <c r="K35" t="s">
        <v>19</v>
      </c>
      <c r="L35">
        <v>3</v>
      </c>
      <c r="M35" s="6">
        <v>45627</v>
      </c>
      <c r="N35" s="6">
        <v>45671</v>
      </c>
      <c r="O35">
        <v>4</v>
      </c>
      <c r="P35">
        <v>339.1</v>
      </c>
    </row>
    <row r="36" spans="1:16">
      <c r="A36" t="s">
        <v>122</v>
      </c>
      <c r="B36" s="6">
        <v>45673</v>
      </c>
      <c r="C36">
        <v>103</v>
      </c>
      <c r="D36" t="s">
        <v>15</v>
      </c>
      <c r="E36" t="s">
        <v>39</v>
      </c>
      <c r="F36" t="s">
        <v>21</v>
      </c>
      <c r="G36">
        <v>4</v>
      </c>
      <c r="H36">
        <v>108.27</v>
      </c>
      <c r="I36">
        <v>8.5</v>
      </c>
      <c r="J36" t="s">
        <v>18</v>
      </c>
      <c r="K36" t="s">
        <v>44</v>
      </c>
      <c r="L36">
        <v>4</v>
      </c>
      <c r="M36" s="6">
        <v>45636</v>
      </c>
      <c r="N36" s="6">
        <v>45676</v>
      </c>
      <c r="O36">
        <v>3</v>
      </c>
      <c r="P36">
        <v>333.31</v>
      </c>
    </row>
    <row r="37" spans="1:16">
      <c r="A37" t="s">
        <v>36</v>
      </c>
      <c r="B37" s="6">
        <v>46013</v>
      </c>
      <c r="C37">
        <v>104</v>
      </c>
      <c r="D37" t="s">
        <v>202</v>
      </c>
      <c r="E37" t="s">
        <v>24</v>
      </c>
      <c r="F37" t="s">
        <v>25</v>
      </c>
      <c r="G37">
        <v>2</v>
      </c>
      <c r="H37">
        <v>107.03</v>
      </c>
      <c r="I37">
        <v>8.5</v>
      </c>
      <c r="J37" t="s">
        <v>18</v>
      </c>
      <c r="K37" t="s">
        <v>19</v>
      </c>
      <c r="L37">
        <v>5</v>
      </c>
      <c r="M37" s="6">
        <v>45959</v>
      </c>
      <c r="N37" s="6">
        <v>46016</v>
      </c>
      <c r="O37">
        <v>3</v>
      </c>
      <c r="P37">
        <v>329.59000000000003</v>
      </c>
    </row>
    <row r="38" spans="1:16">
      <c r="A38" t="s">
        <v>78</v>
      </c>
      <c r="B38" s="6">
        <v>45842</v>
      </c>
      <c r="C38">
        <v>115</v>
      </c>
      <c r="D38" t="s">
        <v>15</v>
      </c>
      <c r="E38" t="s">
        <v>24</v>
      </c>
      <c r="F38" t="s">
        <v>29</v>
      </c>
      <c r="G38">
        <v>2</v>
      </c>
      <c r="H38">
        <v>106.95</v>
      </c>
      <c r="I38">
        <v>8.5</v>
      </c>
      <c r="J38" t="s">
        <v>18</v>
      </c>
      <c r="K38" t="s">
        <v>19</v>
      </c>
      <c r="L38">
        <v>4</v>
      </c>
      <c r="M38" s="6">
        <v>45789</v>
      </c>
      <c r="N38" s="6">
        <v>45845</v>
      </c>
      <c r="O38">
        <v>3</v>
      </c>
      <c r="P38">
        <v>329.35</v>
      </c>
    </row>
    <row r="39" spans="1:16">
      <c r="A39" t="s">
        <v>140</v>
      </c>
      <c r="B39" s="6">
        <v>45764</v>
      </c>
      <c r="C39">
        <v>211</v>
      </c>
      <c r="D39" t="s">
        <v>43</v>
      </c>
      <c r="E39" t="s">
        <v>16</v>
      </c>
      <c r="F39" t="s">
        <v>33</v>
      </c>
      <c r="G39">
        <v>3</v>
      </c>
      <c r="H39">
        <v>78.97</v>
      </c>
      <c r="I39">
        <v>8.5</v>
      </c>
      <c r="J39" t="s">
        <v>18</v>
      </c>
      <c r="K39" t="s">
        <v>19</v>
      </c>
      <c r="M39" s="6">
        <v>45709</v>
      </c>
      <c r="N39" s="6">
        <v>45768</v>
      </c>
      <c r="O39">
        <v>4</v>
      </c>
      <c r="P39">
        <v>324.38</v>
      </c>
    </row>
    <row r="40" spans="1:16">
      <c r="A40" t="s">
        <v>150</v>
      </c>
      <c r="B40" s="6">
        <v>45890</v>
      </c>
      <c r="C40">
        <v>204</v>
      </c>
      <c r="D40" t="s">
        <v>43</v>
      </c>
      <c r="E40" t="s">
        <v>27</v>
      </c>
      <c r="F40" t="s">
        <v>21</v>
      </c>
      <c r="G40">
        <v>4</v>
      </c>
      <c r="H40">
        <v>78.97</v>
      </c>
      <c r="I40">
        <v>8.5</v>
      </c>
      <c r="J40" t="s">
        <v>18</v>
      </c>
      <c r="K40" t="s">
        <v>19</v>
      </c>
      <c r="L40">
        <v>3</v>
      </c>
      <c r="M40" s="6">
        <v>45874</v>
      </c>
      <c r="N40" s="6">
        <v>45894</v>
      </c>
      <c r="O40">
        <v>4</v>
      </c>
      <c r="P40">
        <v>324.38</v>
      </c>
    </row>
    <row r="41" spans="1:16">
      <c r="A41" t="s">
        <v>120</v>
      </c>
      <c r="B41" s="6">
        <v>45954</v>
      </c>
      <c r="C41">
        <v>108</v>
      </c>
      <c r="D41" t="s">
        <v>38</v>
      </c>
      <c r="E41" t="s">
        <v>27</v>
      </c>
      <c r="F41" t="s">
        <v>29</v>
      </c>
      <c r="G41">
        <v>2</v>
      </c>
      <c r="H41">
        <v>103.81</v>
      </c>
      <c r="I41">
        <v>8.5</v>
      </c>
      <c r="J41" t="s">
        <v>18</v>
      </c>
      <c r="K41" t="s">
        <v>19</v>
      </c>
      <c r="L41">
        <v>3</v>
      </c>
      <c r="M41" s="6">
        <v>45925</v>
      </c>
      <c r="N41" s="6">
        <v>45957</v>
      </c>
      <c r="O41">
        <v>3</v>
      </c>
      <c r="P41">
        <v>319.93</v>
      </c>
    </row>
    <row r="42" spans="1:16">
      <c r="A42" t="s">
        <v>143</v>
      </c>
      <c r="B42" s="6">
        <v>45959</v>
      </c>
      <c r="C42">
        <v>109</v>
      </c>
      <c r="D42" t="s">
        <v>43</v>
      </c>
      <c r="E42" t="s">
        <v>27</v>
      </c>
      <c r="F42" t="s">
        <v>70</v>
      </c>
      <c r="G42">
        <v>4</v>
      </c>
      <c r="H42">
        <v>103.81</v>
      </c>
      <c r="I42">
        <v>8.5</v>
      </c>
      <c r="J42" t="s">
        <v>18</v>
      </c>
      <c r="K42" t="s">
        <v>19</v>
      </c>
      <c r="L42">
        <v>4</v>
      </c>
      <c r="M42" s="6">
        <v>45912</v>
      </c>
      <c r="N42" s="6">
        <v>45962</v>
      </c>
      <c r="O42">
        <v>3</v>
      </c>
      <c r="P42">
        <v>319.93</v>
      </c>
    </row>
    <row r="43" spans="1:16">
      <c r="A43" t="s">
        <v>124</v>
      </c>
      <c r="B43" s="6">
        <v>45873</v>
      </c>
      <c r="C43">
        <v>206</v>
      </c>
      <c r="D43" t="s">
        <v>43</v>
      </c>
      <c r="E43" t="s">
        <v>39</v>
      </c>
      <c r="F43" t="s">
        <v>46</v>
      </c>
      <c r="G43">
        <v>2</v>
      </c>
      <c r="H43">
        <v>76.31</v>
      </c>
      <c r="I43">
        <v>8.5</v>
      </c>
      <c r="J43" t="s">
        <v>18</v>
      </c>
      <c r="K43" t="s">
        <v>19</v>
      </c>
      <c r="L43">
        <v>5</v>
      </c>
      <c r="M43" s="6">
        <v>45854</v>
      </c>
      <c r="N43" s="6">
        <v>45877</v>
      </c>
      <c r="O43">
        <v>4</v>
      </c>
      <c r="P43">
        <v>313.74</v>
      </c>
    </row>
    <row r="44" spans="1:16">
      <c r="A44" t="s">
        <v>68</v>
      </c>
      <c r="B44" s="6">
        <v>45788</v>
      </c>
      <c r="C44">
        <v>111</v>
      </c>
      <c r="D44" t="s">
        <v>202</v>
      </c>
      <c r="E44" t="s">
        <v>27</v>
      </c>
      <c r="F44" t="s">
        <v>21</v>
      </c>
      <c r="G44">
        <v>4</v>
      </c>
      <c r="H44">
        <v>100.87</v>
      </c>
      <c r="I44">
        <v>8.5</v>
      </c>
      <c r="J44" t="s">
        <v>18</v>
      </c>
      <c r="K44" t="s">
        <v>19</v>
      </c>
      <c r="L44">
        <v>5</v>
      </c>
      <c r="M44" s="6">
        <v>45769</v>
      </c>
      <c r="N44" s="6">
        <v>45791</v>
      </c>
      <c r="O44">
        <v>3</v>
      </c>
      <c r="P44">
        <v>311.11</v>
      </c>
    </row>
    <row r="45" spans="1:16">
      <c r="A45" t="s">
        <v>127</v>
      </c>
      <c r="B45" s="6">
        <v>45744</v>
      </c>
      <c r="C45">
        <v>101</v>
      </c>
      <c r="D45" t="s">
        <v>38</v>
      </c>
      <c r="E45" t="s">
        <v>202</v>
      </c>
      <c r="F45" t="s">
        <v>17</v>
      </c>
      <c r="G45">
        <v>1</v>
      </c>
      <c r="H45">
        <v>98.84</v>
      </c>
      <c r="I45">
        <v>8.5</v>
      </c>
      <c r="J45" t="s">
        <v>18</v>
      </c>
      <c r="K45" t="s">
        <v>19</v>
      </c>
      <c r="L45">
        <v>4</v>
      </c>
      <c r="M45" s="6">
        <v>45708</v>
      </c>
      <c r="N45" s="6">
        <v>45747</v>
      </c>
      <c r="O45">
        <v>3</v>
      </c>
      <c r="P45">
        <v>305.02</v>
      </c>
    </row>
    <row r="46" spans="1:16">
      <c r="A46" t="s">
        <v>66</v>
      </c>
      <c r="B46" s="6">
        <v>45767</v>
      </c>
      <c r="C46">
        <v>117</v>
      </c>
      <c r="D46" t="s">
        <v>38</v>
      </c>
      <c r="E46" t="s">
        <v>16</v>
      </c>
      <c r="F46" t="s">
        <v>29</v>
      </c>
      <c r="G46">
        <v>4</v>
      </c>
      <c r="H46">
        <v>94</v>
      </c>
      <c r="I46">
        <v>8.5</v>
      </c>
      <c r="J46" t="s">
        <v>18</v>
      </c>
      <c r="K46" t="s">
        <v>19</v>
      </c>
      <c r="L46">
        <v>3</v>
      </c>
      <c r="M46" s="6">
        <v>45751</v>
      </c>
      <c r="N46" s="6">
        <v>45770</v>
      </c>
      <c r="O46">
        <v>3</v>
      </c>
      <c r="P46">
        <v>290.5</v>
      </c>
    </row>
    <row r="47" spans="1:16">
      <c r="A47" t="s">
        <v>114</v>
      </c>
      <c r="B47" s="6">
        <v>45951</v>
      </c>
      <c r="C47">
        <v>116</v>
      </c>
      <c r="D47" t="s">
        <v>43</v>
      </c>
      <c r="E47" t="s">
        <v>39</v>
      </c>
      <c r="F47" t="s">
        <v>21</v>
      </c>
      <c r="G47">
        <v>3</v>
      </c>
      <c r="H47">
        <v>89.77</v>
      </c>
      <c r="I47">
        <v>8.5</v>
      </c>
      <c r="J47" t="s">
        <v>18</v>
      </c>
      <c r="K47" t="s">
        <v>19</v>
      </c>
      <c r="L47">
        <v>4</v>
      </c>
      <c r="M47" s="6">
        <v>45945</v>
      </c>
      <c r="N47" s="6">
        <v>45954</v>
      </c>
      <c r="O47">
        <v>3</v>
      </c>
      <c r="P47">
        <v>277.81</v>
      </c>
    </row>
    <row r="48" spans="1:16">
      <c r="A48" t="s">
        <v>22</v>
      </c>
      <c r="B48" s="6">
        <v>45877</v>
      </c>
      <c r="C48">
        <v>218</v>
      </c>
      <c r="D48" t="s">
        <v>23</v>
      </c>
      <c r="E48" t="s">
        <v>24</v>
      </c>
      <c r="F48" t="s">
        <v>25</v>
      </c>
      <c r="G48">
        <v>2</v>
      </c>
      <c r="H48">
        <v>134.43</v>
      </c>
      <c r="I48">
        <v>8.5</v>
      </c>
      <c r="J48" t="s">
        <v>18</v>
      </c>
      <c r="K48" t="s">
        <v>19</v>
      </c>
      <c r="L48">
        <v>4</v>
      </c>
      <c r="M48" s="6">
        <v>45848</v>
      </c>
      <c r="N48" s="6">
        <v>45879</v>
      </c>
      <c r="O48">
        <v>2</v>
      </c>
      <c r="P48">
        <v>277.36</v>
      </c>
    </row>
    <row r="49" spans="1:16">
      <c r="A49" t="s">
        <v>53</v>
      </c>
      <c r="B49" s="6">
        <v>46006</v>
      </c>
      <c r="C49">
        <v>214</v>
      </c>
      <c r="D49" t="s">
        <v>15</v>
      </c>
      <c r="E49" t="s">
        <v>24</v>
      </c>
      <c r="F49" t="s">
        <v>17</v>
      </c>
      <c r="G49">
        <v>2</v>
      </c>
      <c r="H49">
        <v>86.92</v>
      </c>
      <c r="I49">
        <v>8.5</v>
      </c>
      <c r="J49" t="s">
        <v>18</v>
      </c>
      <c r="K49" t="s">
        <v>19</v>
      </c>
      <c r="L49">
        <v>5</v>
      </c>
      <c r="M49" s="6">
        <v>45977</v>
      </c>
      <c r="N49" s="6">
        <v>46009</v>
      </c>
      <c r="O49">
        <v>3</v>
      </c>
      <c r="P49">
        <v>269.26</v>
      </c>
    </row>
    <row r="50" spans="1:16">
      <c r="A50" t="s">
        <v>132</v>
      </c>
      <c r="B50" s="6">
        <v>46002</v>
      </c>
      <c r="C50">
        <v>103</v>
      </c>
      <c r="D50" t="s">
        <v>15</v>
      </c>
      <c r="E50" t="s">
        <v>27</v>
      </c>
      <c r="F50" t="s">
        <v>25</v>
      </c>
      <c r="G50">
        <v>1</v>
      </c>
      <c r="H50">
        <v>121.23</v>
      </c>
      <c r="I50">
        <v>8.5</v>
      </c>
      <c r="J50" t="s">
        <v>18</v>
      </c>
      <c r="K50" t="s">
        <v>19</v>
      </c>
      <c r="L50">
        <v>4</v>
      </c>
      <c r="M50" s="6">
        <v>45970</v>
      </c>
      <c r="N50" s="6">
        <v>46004</v>
      </c>
      <c r="O50">
        <v>2</v>
      </c>
      <c r="P50">
        <v>250.96</v>
      </c>
    </row>
    <row r="51" spans="1:16">
      <c r="A51" t="s">
        <v>83</v>
      </c>
      <c r="B51" s="6">
        <v>45857</v>
      </c>
      <c r="C51">
        <v>217</v>
      </c>
      <c r="D51" t="s">
        <v>23</v>
      </c>
      <c r="E51" t="s">
        <v>39</v>
      </c>
      <c r="F51" t="s">
        <v>21</v>
      </c>
      <c r="G51">
        <v>1</v>
      </c>
      <c r="H51">
        <v>120.64</v>
      </c>
      <c r="I51">
        <v>8.5</v>
      </c>
      <c r="J51" t="s">
        <v>18</v>
      </c>
      <c r="K51" t="s">
        <v>19</v>
      </c>
      <c r="L51">
        <v>5</v>
      </c>
      <c r="M51" s="6">
        <v>45817</v>
      </c>
      <c r="N51" s="6">
        <v>45859</v>
      </c>
      <c r="O51">
        <v>2</v>
      </c>
      <c r="P51">
        <v>249.78</v>
      </c>
    </row>
    <row r="52" spans="1:16">
      <c r="A52" t="s">
        <v>101</v>
      </c>
      <c r="B52" s="6">
        <v>45866</v>
      </c>
      <c r="C52">
        <v>218</v>
      </c>
      <c r="D52" t="s">
        <v>15</v>
      </c>
      <c r="E52" t="s">
        <v>24</v>
      </c>
      <c r="F52" t="s">
        <v>29</v>
      </c>
      <c r="G52">
        <v>2</v>
      </c>
      <c r="H52">
        <v>120.51</v>
      </c>
      <c r="I52">
        <v>8.5</v>
      </c>
      <c r="J52" t="s">
        <v>18</v>
      </c>
      <c r="K52" t="s">
        <v>19</v>
      </c>
      <c r="L52">
        <v>5</v>
      </c>
      <c r="M52" s="6">
        <v>45861</v>
      </c>
      <c r="N52" s="6">
        <v>45868</v>
      </c>
      <c r="O52">
        <v>2</v>
      </c>
      <c r="P52">
        <v>249.52</v>
      </c>
    </row>
    <row r="53" spans="1:16">
      <c r="A53" t="s">
        <v>152</v>
      </c>
      <c r="B53" s="6">
        <v>45946</v>
      </c>
      <c r="C53">
        <v>114</v>
      </c>
      <c r="D53" t="s">
        <v>15</v>
      </c>
      <c r="E53" t="s">
        <v>27</v>
      </c>
      <c r="F53" t="s">
        <v>25</v>
      </c>
      <c r="G53">
        <v>2</v>
      </c>
      <c r="H53">
        <v>118.66</v>
      </c>
      <c r="I53">
        <v>8.5</v>
      </c>
      <c r="J53" t="s">
        <v>18</v>
      </c>
      <c r="K53" t="s">
        <v>19</v>
      </c>
      <c r="L53">
        <v>4</v>
      </c>
      <c r="M53" s="6">
        <v>45908</v>
      </c>
      <c r="N53" s="6">
        <v>45948</v>
      </c>
      <c r="O53">
        <v>2</v>
      </c>
      <c r="P53">
        <v>245.82</v>
      </c>
    </row>
    <row r="54" spans="1:16">
      <c r="A54" t="s">
        <v>154</v>
      </c>
      <c r="B54" s="6">
        <v>45671</v>
      </c>
      <c r="C54">
        <v>104</v>
      </c>
      <c r="D54" t="s">
        <v>15</v>
      </c>
      <c r="E54" t="s">
        <v>39</v>
      </c>
      <c r="F54" t="s">
        <v>21</v>
      </c>
      <c r="G54">
        <v>1</v>
      </c>
      <c r="H54">
        <v>117.37</v>
      </c>
      <c r="I54">
        <v>8.5</v>
      </c>
      <c r="J54" t="s">
        <v>18</v>
      </c>
      <c r="K54" t="s">
        <v>19</v>
      </c>
      <c r="L54">
        <v>5</v>
      </c>
      <c r="M54" s="6">
        <v>45654</v>
      </c>
      <c r="N54" s="6">
        <v>45673</v>
      </c>
      <c r="O54">
        <v>2</v>
      </c>
      <c r="P54">
        <v>243.24</v>
      </c>
    </row>
    <row r="55" spans="1:16">
      <c r="A55" t="s">
        <v>131</v>
      </c>
      <c r="B55" s="6">
        <v>45759</v>
      </c>
      <c r="C55">
        <v>205</v>
      </c>
      <c r="D55" t="s">
        <v>15</v>
      </c>
      <c r="E55" t="s">
        <v>39</v>
      </c>
      <c r="F55" t="s">
        <v>46</v>
      </c>
      <c r="G55">
        <v>2</v>
      </c>
      <c r="H55">
        <v>117.34</v>
      </c>
      <c r="I55">
        <v>8.5</v>
      </c>
      <c r="J55" t="s">
        <v>18</v>
      </c>
      <c r="K55" t="s">
        <v>19</v>
      </c>
      <c r="L55">
        <v>4</v>
      </c>
      <c r="M55" s="6">
        <v>45722</v>
      </c>
      <c r="N55" s="6">
        <v>45761</v>
      </c>
      <c r="O55">
        <v>2</v>
      </c>
      <c r="P55">
        <v>243.18</v>
      </c>
    </row>
    <row r="56" spans="1:16">
      <c r="A56" t="s">
        <v>99</v>
      </c>
      <c r="B56" s="6">
        <v>45678</v>
      </c>
      <c r="C56">
        <v>102</v>
      </c>
      <c r="D56" t="s">
        <v>15</v>
      </c>
      <c r="E56" t="s">
        <v>16</v>
      </c>
      <c r="F56" t="s">
        <v>17</v>
      </c>
      <c r="G56">
        <v>2</v>
      </c>
      <c r="H56">
        <v>115.08</v>
      </c>
      <c r="I56">
        <v>8.5</v>
      </c>
      <c r="J56" t="s">
        <v>18</v>
      </c>
      <c r="K56" t="s">
        <v>19</v>
      </c>
      <c r="L56">
        <v>5</v>
      </c>
      <c r="M56" s="6">
        <v>45665</v>
      </c>
      <c r="N56" s="6">
        <v>45680</v>
      </c>
      <c r="O56">
        <v>2</v>
      </c>
      <c r="P56">
        <v>238.66</v>
      </c>
    </row>
    <row r="57" spans="1:16">
      <c r="A57" t="s">
        <v>96</v>
      </c>
      <c r="B57" s="6">
        <v>45870</v>
      </c>
      <c r="C57">
        <v>210</v>
      </c>
      <c r="D57" t="s">
        <v>15</v>
      </c>
      <c r="E57" t="s">
        <v>39</v>
      </c>
      <c r="F57" t="s">
        <v>33</v>
      </c>
      <c r="G57">
        <v>3</v>
      </c>
      <c r="H57">
        <v>111.93</v>
      </c>
      <c r="I57">
        <v>8.5</v>
      </c>
      <c r="J57" t="s">
        <v>18</v>
      </c>
      <c r="K57" t="s">
        <v>19</v>
      </c>
      <c r="L57">
        <v>4</v>
      </c>
      <c r="M57" s="6">
        <v>45816</v>
      </c>
      <c r="N57" s="6">
        <v>45872</v>
      </c>
      <c r="O57">
        <v>2</v>
      </c>
      <c r="P57">
        <v>232.36</v>
      </c>
    </row>
    <row r="58" spans="1:16">
      <c r="A58" t="s">
        <v>91</v>
      </c>
      <c r="B58" s="6">
        <v>45891</v>
      </c>
      <c r="C58">
        <v>211</v>
      </c>
      <c r="D58" t="s">
        <v>38</v>
      </c>
      <c r="E58" t="s">
        <v>27</v>
      </c>
      <c r="F58" t="s">
        <v>25</v>
      </c>
      <c r="G58">
        <v>2</v>
      </c>
      <c r="H58">
        <v>110.2</v>
      </c>
      <c r="I58">
        <v>8.5</v>
      </c>
      <c r="J58" t="s">
        <v>18</v>
      </c>
      <c r="K58" t="s">
        <v>19</v>
      </c>
      <c r="L58">
        <v>4</v>
      </c>
      <c r="M58" s="6">
        <v>45843</v>
      </c>
      <c r="N58" s="6">
        <v>45893</v>
      </c>
      <c r="O58">
        <v>2</v>
      </c>
      <c r="P58">
        <v>228.9</v>
      </c>
    </row>
    <row r="59" spans="1:16">
      <c r="A59" t="s">
        <v>56</v>
      </c>
      <c r="B59" s="6">
        <v>45939</v>
      </c>
      <c r="C59">
        <v>217</v>
      </c>
      <c r="D59" t="s">
        <v>38</v>
      </c>
      <c r="E59" t="s">
        <v>16</v>
      </c>
      <c r="F59" t="s">
        <v>202</v>
      </c>
      <c r="G59">
        <v>2</v>
      </c>
      <c r="H59">
        <v>109.22</v>
      </c>
      <c r="I59">
        <v>8.5</v>
      </c>
      <c r="J59" t="s">
        <v>18</v>
      </c>
      <c r="K59" t="s">
        <v>19</v>
      </c>
      <c r="L59">
        <v>4</v>
      </c>
      <c r="M59" s="6">
        <v>45892</v>
      </c>
      <c r="N59" s="6">
        <v>45941</v>
      </c>
      <c r="O59">
        <v>2</v>
      </c>
      <c r="P59">
        <v>226.94</v>
      </c>
    </row>
    <row r="60" spans="1:16">
      <c r="A60" t="s">
        <v>113</v>
      </c>
      <c r="B60" s="6">
        <v>45689</v>
      </c>
      <c r="C60">
        <v>211</v>
      </c>
      <c r="D60" t="s">
        <v>43</v>
      </c>
      <c r="E60" t="s">
        <v>24</v>
      </c>
      <c r="F60" t="s">
        <v>33</v>
      </c>
      <c r="G60">
        <v>2</v>
      </c>
      <c r="H60">
        <v>71.849999999999994</v>
      </c>
      <c r="I60">
        <v>8.5</v>
      </c>
      <c r="J60" t="s">
        <v>18</v>
      </c>
      <c r="K60" t="s">
        <v>19</v>
      </c>
      <c r="L60">
        <v>4</v>
      </c>
      <c r="M60" s="6">
        <v>45633</v>
      </c>
      <c r="N60" s="6">
        <v>45692</v>
      </c>
      <c r="O60">
        <v>3</v>
      </c>
      <c r="P60">
        <v>224.04999999999998</v>
      </c>
    </row>
    <row r="61" spans="1:16">
      <c r="A61" t="s">
        <v>93</v>
      </c>
      <c r="B61" s="6">
        <v>45733</v>
      </c>
      <c r="C61">
        <v>205</v>
      </c>
      <c r="D61" t="s">
        <v>15</v>
      </c>
      <c r="E61" t="s">
        <v>16</v>
      </c>
      <c r="F61" t="s">
        <v>46</v>
      </c>
      <c r="G61">
        <v>2</v>
      </c>
      <c r="H61">
        <v>107.23</v>
      </c>
      <c r="I61">
        <v>8.5</v>
      </c>
      <c r="J61" t="s">
        <v>18</v>
      </c>
      <c r="K61" t="s">
        <v>19</v>
      </c>
      <c r="L61">
        <v>4</v>
      </c>
      <c r="M61" s="6">
        <v>45718</v>
      </c>
      <c r="N61" s="6">
        <v>45735</v>
      </c>
      <c r="O61">
        <v>2</v>
      </c>
      <c r="P61">
        <v>222.96</v>
      </c>
    </row>
    <row r="62" spans="1:16">
      <c r="A62" t="s">
        <v>61</v>
      </c>
      <c r="B62" s="6">
        <v>45693</v>
      </c>
      <c r="C62">
        <v>101</v>
      </c>
      <c r="D62" t="s">
        <v>38</v>
      </c>
      <c r="E62" t="s">
        <v>27</v>
      </c>
      <c r="F62" t="s">
        <v>25</v>
      </c>
      <c r="G62">
        <v>2</v>
      </c>
      <c r="H62">
        <v>103.81</v>
      </c>
      <c r="I62">
        <v>8.5</v>
      </c>
      <c r="J62" t="s">
        <v>18</v>
      </c>
      <c r="K62" t="s">
        <v>19</v>
      </c>
      <c r="L62">
        <v>5</v>
      </c>
      <c r="M62" s="6">
        <v>45668</v>
      </c>
      <c r="N62" s="6">
        <v>45695</v>
      </c>
      <c r="O62">
        <v>2</v>
      </c>
      <c r="P62">
        <v>216.12</v>
      </c>
    </row>
    <row r="63" spans="1:16">
      <c r="A63" t="s">
        <v>138</v>
      </c>
      <c r="B63" s="6">
        <v>45980</v>
      </c>
      <c r="C63">
        <v>218</v>
      </c>
      <c r="D63" t="s">
        <v>15</v>
      </c>
      <c r="E63" t="s">
        <v>16</v>
      </c>
      <c r="F63" t="s">
        <v>33</v>
      </c>
      <c r="G63">
        <v>4</v>
      </c>
      <c r="H63">
        <v>102.62</v>
      </c>
      <c r="I63">
        <v>8.5</v>
      </c>
      <c r="J63" t="s">
        <v>18</v>
      </c>
      <c r="K63" t="s">
        <v>19</v>
      </c>
      <c r="L63">
        <v>4</v>
      </c>
      <c r="M63" s="6">
        <v>45948</v>
      </c>
      <c r="N63" s="6">
        <v>45982</v>
      </c>
      <c r="O63">
        <v>2</v>
      </c>
      <c r="P63">
        <v>213.74</v>
      </c>
    </row>
    <row r="64" spans="1:16">
      <c r="A64" t="s">
        <v>116</v>
      </c>
      <c r="B64" s="6">
        <v>45769</v>
      </c>
      <c r="C64">
        <v>106</v>
      </c>
      <c r="D64" t="s">
        <v>15</v>
      </c>
      <c r="E64" t="s">
        <v>16</v>
      </c>
      <c r="F64" t="s">
        <v>17</v>
      </c>
      <c r="G64">
        <v>3</v>
      </c>
      <c r="H64">
        <v>97.25</v>
      </c>
      <c r="I64">
        <v>8.5</v>
      </c>
      <c r="J64" t="s">
        <v>18</v>
      </c>
      <c r="K64" t="s">
        <v>19</v>
      </c>
      <c r="L64">
        <v>5</v>
      </c>
      <c r="M64" s="6">
        <v>45752</v>
      </c>
      <c r="N64" s="6">
        <v>45771</v>
      </c>
      <c r="O64">
        <v>2</v>
      </c>
      <c r="P64">
        <v>203</v>
      </c>
    </row>
    <row r="65" spans="1:16">
      <c r="A65" t="s">
        <v>119</v>
      </c>
      <c r="B65" s="6">
        <v>45964</v>
      </c>
      <c r="C65">
        <v>108</v>
      </c>
      <c r="D65" t="s">
        <v>15</v>
      </c>
      <c r="E65" t="s">
        <v>16</v>
      </c>
      <c r="F65" t="s">
        <v>70</v>
      </c>
      <c r="G65">
        <v>2</v>
      </c>
      <c r="H65">
        <v>97.14</v>
      </c>
      <c r="I65">
        <v>8.5</v>
      </c>
      <c r="J65" t="s">
        <v>18</v>
      </c>
      <c r="K65" t="s">
        <v>19</v>
      </c>
      <c r="L65">
        <v>5</v>
      </c>
      <c r="M65" s="6">
        <v>45936</v>
      </c>
      <c r="N65" s="6">
        <v>45966</v>
      </c>
      <c r="O65">
        <v>2</v>
      </c>
      <c r="P65">
        <v>202.78</v>
      </c>
    </row>
    <row r="66" spans="1:16">
      <c r="A66" t="s">
        <v>42</v>
      </c>
      <c r="B66" s="6">
        <v>45741</v>
      </c>
      <c r="C66">
        <v>208</v>
      </c>
      <c r="D66" t="s">
        <v>43</v>
      </c>
      <c r="E66" t="s">
        <v>39</v>
      </c>
      <c r="F66" t="s">
        <v>33</v>
      </c>
      <c r="G66">
        <v>3</v>
      </c>
      <c r="H66">
        <v>94.9</v>
      </c>
      <c r="I66">
        <v>8.5</v>
      </c>
      <c r="J66" t="s">
        <v>18</v>
      </c>
      <c r="K66" t="s">
        <v>44</v>
      </c>
      <c r="L66">
        <v>3</v>
      </c>
      <c r="M66" s="6">
        <v>45690</v>
      </c>
      <c r="N66" s="6">
        <v>45743</v>
      </c>
      <c r="O66">
        <v>2</v>
      </c>
      <c r="P66">
        <v>198.3</v>
      </c>
    </row>
    <row r="67" spans="1:16">
      <c r="A67" t="s">
        <v>97</v>
      </c>
      <c r="B67" s="6">
        <v>45899</v>
      </c>
      <c r="C67">
        <v>117</v>
      </c>
      <c r="D67" t="s">
        <v>38</v>
      </c>
      <c r="E67" t="s">
        <v>27</v>
      </c>
      <c r="F67" t="s">
        <v>17</v>
      </c>
      <c r="G67">
        <v>2</v>
      </c>
      <c r="H67">
        <v>94.81</v>
      </c>
      <c r="I67">
        <v>8.5</v>
      </c>
      <c r="J67" t="s">
        <v>18</v>
      </c>
      <c r="K67" t="s">
        <v>19</v>
      </c>
      <c r="L67">
        <v>4</v>
      </c>
      <c r="M67" s="6">
        <v>45895</v>
      </c>
      <c r="N67" s="6">
        <v>45901</v>
      </c>
      <c r="O67">
        <v>2</v>
      </c>
      <c r="P67">
        <v>198.12</v>
      </c>
    </row>
    <row r="68" spans="1:16">
      <c r="A68" t="s">
        <v>149</v>
      </c>
      <c r="B68" s="6">
        <v>45963</v>
      </c>
      <c r="C68">
        <v>207</v>
      </c>
      <c r="D68" t="s">
        <v>43</v>
      </c>
      <c r="E68" t="s">
        <v>39</v>
      </c>
      <c r="F68" t="s">
        <v>21</v>
      </c>
      <c r="G68">
        <v>2</v>
      </c>
      <c r="H68">
        <v>93.48</v>
      </c>
      <c r="I68">
        <v>8.5</v>
      </c>
      <c r="J68" t="s">
        <v>18</v>
      </c>
      <c r="K68" t="s">
        <v>19</v>
      </c>
      <c r="L68">
        <v>4</v>
      </c>
      <c r="M68" s="6">
        <v>45906</v>
      </c>
      <c r="N68" s="6">
        <v>45965</v>
      </c>
      <c r="O68">
        <v>2</v>
      </c>
      <c r="P68">
        <v>195.46</v>
      </c>
    </row>
    <row r="69" spans="1:16">
      <c r="A69" t="s">
        <v>58</v>
      </c>
      <c r="B69" s="6">
        <v>45790</v>
      </c>
      <c r="C69">
        <v>215</v>
      </c>
      <c r="D69" t="s">
        <v>38</v>
      </c>
      <c r="E69" t="s">
        <v>16</v>
      </c>
      <c r="F69" t="s">
        <v>33</v>
      </c>
      <c r="G69">
        <v>2</v>
      </c>
      <c r="H69">
        <v>93.36</v>
      </c>
      <c r="I69">
        <v>8.5</v>
      </c>
      <c r="J69" t="s">
        <v>18</v>
      </c>
      <c r="K69" t="s">
        <v>19</v>
      </c>
      <c r="L69">
        <v>4</v>
      </c>
      <c r="M69" s="6">
        <v>45777</v>
      </c>
      <c r="N69" s="6">
        <v>45792</v>
      </c>
      <c r="O69">
        <v>2</v>
      </c>
      <c r="P69">
        <v>195.22</v>
      </c>
    </row>
    <row r="70" spans="1:16">
      <c r="A70" t="s">
        <v>75</v>
      </c>
      <c r="B70" s="6">
        <v>45846</v>
      </c>
      <c r="C70">
        <v>116</v>
      </c>
      <c r="D70" t="s">
        <v>43</v>
      </c>
      <c r="E70" t="s">
        <v>27</v>
      </c>
      <c r="F70" t="s">
        <v>25</v>
      </c>
      <c r="G70">
        <v>3</v>
      </c>
      <c r="H70">
        <v>92.1</v>
      </c>
      <c r="I70">
        <v>8.5</v>
      </c>
      <c r="J70" t="s">
        <v>18</v>
      </c>
      <c r="K70" t="s">
        <v>19</v>
      </c>
      <c r="L70">
        <v>4</v>
      </c>
      <c r="M70" s="6">
        <v>45802</v>
      </c>
      <c r="N70" s="6">
        <v>45848</v>
      </c>
      <c r="O70">
        <v>2</v>
      </c>
      <c r="P70">
        <v>192.7</v>
      </c>
    </row>
    <row r="71" spans="1:16">
      <c r="A71" t="s">
        <v>77</v>
      </c>
      <c r="B71" s="6">
        <v>46005</v>
      </c>
      <c r="C71">
        <v>111</v>
      </c>
      <c r="D71" t="s">
        <v>43</v>
      </c>
      <c r="E71" t="s">
        <v>39</v>
      </c>
      <c r="F71" t="s">
        <v>25</v>
      </c>
      <c r="G71">
        <v>1</v>
      </c>
      <c r="H71">
        <v>91.46</v>
      </c>
      <c r="I71">
        <v>8.5</v>
      </c>
      <c r="J71" t="s">
        <v>18</v>
      </c>
      <c r="K71" t="s">
        <v>19</v>
      </c>
      <c r="L71">
        <v>4</v>
      </c>
      <c r="M71" s="6">
        <v>45987</v>
      </c>
      <c r="N71" s="6">
        <v>46007</v>
      </c>
      <c r="O71">
        <v>2</v>
      </c>
      <c r="P71">
        <v>191.42</v>
      </c>
    </row>
    <row r="72" spans="1:16">
      <c r="A72" t="s">
        <v>88</v>
      </c>
      <c r="B72" s="6">
        <v>45787</v>
      </c>
      <c r="C72">
        <v>101</v>
      </c>
      <c r="D72" t="s">
        <v>43</v>
      </c>
      <c r="E72" t="s">
        <v>202</v>
      </c>
      <c r="F72" t="s">
        <v>17</v>
      </c>
      <c r="G72">
        <v>2</v>
      </c>
      <c r="H72">
        <v>90.1</v>
      </c>
      <c r="I72">
        <v>8.5</v>
      </c>
      <c r="J72" t="s">
        <v>18</v>
      </c>
      <c r="K72" t="s">
        <v>19</v>
      </c>
      <c r="L72">
        <v>5</v>
      </c>
      <c r="M72" s="6">
        <v>45745</v>
      </c>
      <c r="N72" s="6">
        <v>45789</v>
      </c>
      <c r="O72">
        <v>2</v>
      </c>
      <c r="P72">
        <v>188.7</v>
      </c>
    </row>
    <row r="73" spans="1:16">
      <c r="A73" t="s">
        <v>37</v>
      </c>
      <c r="B73" s="6">
        <v>45824</v>
      </c>
      <c r="C73">
        <v>212</v>
      </c>
      <c r="D73" t="s">
        <v>38</v>
      </c>
      <c r="E73" t="s">
        <v>39</v>
      </c>
      <c r="F73" t="s">
        <v>17</v>
      </c>
      <c r="G73">
        <v>2</v>
      </c>
      <c r="H73">
        <v>89.19</v>
      </c>
      <c r="I73">
        <v>8.5</v>
      </c>
      <c r="J73" t="s">
        <v>18</v>
      </c>
      <c r="K73" t="s">
        <v>19</v>
      </c>
      <c r="L73">
        <v>5</v>
      </c>
      <c r="M73" s="6">
        <v>45782</v>
      </c>
      <c r="N73" s="6">
        <v>45826</v>
      </c>
      <c r="O73">
        <v>2</v>
      </c>
      <c r="P73">
        <v>186.88</v>
      </c>
    </row>
    <row r="74" spans="1:16">
      <c r="A74" t="s">
        <v>147</v>
      </c>
      <c r="B74" s="6">
        <v>45975</v>
      </c>
      <c r="C74">
        <v>105</v>
      </c>
      <c r="D74" t="s">
        <v>38</v>
      </c>
      <c r="E74" t="s">
        <v>27</v>
      </c>
      <c r="F74" t="s">
        <v>29</v>
      </c>
      <c r="G74">
        <v>2</v>
      </c>
      <c r="H74">
        <v>88.5</v>
      </c>
      <c r="I74">
        <v>8.5</v>
      </c>
      <c r="J74" t="s">
        <v>18</v>
      </c>
      <c r="K74" t="s">
        <v>19</v>
      </c>
      <c r="L74">
        <v>4</v>
      </c>
      <c r="M74" s="6">
        <v>45933</v>
      </c>
      <c r="N74" s="6">
        <v>45977</v>
      </c>
      <c r="O74">
        <v>2</v>
      </c>
      <c r="P74">
        <v>185.5</v>
      </c>
    </row>
    <row r="75" spans="1:16">
      <c r="A75" t="s">
        <v>69</v>
      </c>
      <c r="B75" s="6">
        <v>45716</v>
      </c>
      <c r="C75">
        <v>108</v>
      </c>
      <c r="D75" t="s">
        <v>43</v>
      </c>
      <c r="E75" t="s">
        <v>16</v>
      </c>
      <c r="F75" t="s">
        <v>70</v>
      </c>
      <c r="G75">
        <v>2</v>
      </c>
      <c r="H75">
        <v>85.12</v>
      </c>
      <c r="I75">
        <v>8.5</v>
      </c>
      <c r="J75" t="s">
        <v>18</v>
      </c>
      <c r="K75" t="s">
        <v>19</v>
      </c>
      <c r="L75">
        <v>5</v>
      </c>
      <c r="M75" s="6">
        <v>45699</v>
      </c>
      <c r="N75" s="6">
        <v>45718</v>
      </c>
      <c r="O75">
        <v>2</v>
      </c>
      <c r="P75">
        <v>178.74</v>
      </c>
    </row>
    <row r="76" spans="1:16">
      <c r="A76" t="s">
        <v>87</v>
      </c>
      <c r="B76" s="6">
        <v>45686</v>
      </c>
      <c r="C76">
        <v>220</v>
      </c>
      <c r="D76" t="s">
        <v>43</v>
      </c>
      <c r="E76" t="s">
        <v>39</v>
      </c>
      <c r="F76" t="s">
        <v>33</v>
      </c>
      <c r="G76">
        <v>4</v>
      </c>
      <c r="H76">
        <v>84.39</v>
      </c>
      <c r="I76">
        <v>8.5</v>
      </c>
      <c r="J76" t="s">
        <v>18</v>
      </c>
      <c r="K76" t="s">
        <v>19</v>
      </c>
      <c r="L76">
        <v>4</v>
      </c>
      <c r="M76" s="6">
        <v>45655</v>
      </c>
      <c r="N76" s="6">
        <v>45688</v>
      </c>
      <c r="O76">
        <v>2</v>
      </c>
      <c r="P76">
        <v>177.28</v>
      </c>
    </row>
    <row r="77" spans="1:16">
      <c r="A77" t="s">
        <v>164</v>
      </c>
      <c r="B77" s="6">
        <v>45698</v>
      </c>
      <c r="C77">
        <v>102</v>
      </c>
      <c r="D77" t="s">
        <v>43</v>
      </c>
      <c r="E77" t="s">
        <v>16</v>
      </c>
      <c r="F77" t="s">
        <v>33</v>
      </c>
      <c r="G77">
        <v>2</v>
      </c>
      <c r="H77">
        <v>81.34</v>
      </c>
      <c r="I77">
        <v>8.5</v>
      </c>
      <c r="J77" t="s">
        <v>18</v>
      </c>
      <c r="K77" t="s">
        <v>19</v>
      </c>
      <c r="L77">
        <v>4</v>
      </c>
      <c r="M77" s="6">
        <v>45650</v>
      </c>
      <c r="N77" s="6">
        <v>45700</v>
      </c>
      <c r="O77">
        <v>2</v>
      </c>
      <c r="P77">
        <v>171.18</v>
      </c>
    </row>
    <row r="78" spans="1:16">
      <c r="A78" t="s">
        <v>133</v>
      </c>
      <c r="B78" s="6">
        <v>45670</v>
      </c>
      <c r="C78">
        <v>110</v>
      </c>
      <c r="D78" t="s">
        <v>43</v>
      </c>
      <c r="E78" t="s">
        <v>39</v>
      </c>
      <c r="F78" t="s">
        <v>25</v>
      </c>
      <c r="G78">
        <v>2</v>
      </c>
      <c r="H78">
        <v>78.459999999999994</v>
      </c>
      <c r="I78">
        <v>8.5</v>
      </c>
      <c r="J78" t="s">
        <v>18</v>
      </c>
      <c r="K78" t="s">
        <v>19</v>
      </c>
      <c r="L78">
        <v>4</v>
      </c>
      <c r="M78" s="6">
        <v>45643</v>
      </c>
      <c r="N78" s="6">
        <v>45672</v>
      </c>
      <c r="O78">
        <v>2</v>
      </c>
      <c r="P78">
        <v>165.42</v>
      </c>
    </row>
    <row r="79" spans="1:16">
      <c r="A79" t="s">
        <v>80</v>
      </c>
      <c r="B79" s="6">
        <v>45682</v>
      </c>
      <c r="C79">
        <v>208</v>
      </c>
      <c r="D79" t="s">
        <v>23</v>
      </c>
      <c r="E79" t="s">
        <v>27</v>
      </c>
      <c r="F79" t="s">
        <v>33</v>
      </c>
      <c r="G79">
        <v>3</v>
      </c>
      <c r="H79">
        <v>144.44999999999999</v>
      </c>
      <c r="I79">
        <v>8.5</v>
      </c>
      <c r="J79" t="s">
        <v>18</v>
      </c>
      <c r="K79" t="s">
        <v>19</v>
      </c>
      <c r="L79">
        <v>4</v>
      </c>
      <c r="M79" s="6">
        <v>45643</v>
      </c>
      <c r="N79" s="6">
        <v>45683</v>
      </c>
      <c r="O79">
        <v>1</v>
      </c>
      <c r="P79">
        <v>152.94999999999999</v>
      </c>
    </row>
    <row r="80" spans="1:16">
      <c r="A80" t="s">
        <v>26</v>
      </c>
      <c r="B80" s="6">
        <v>45715</v>
      </c>
      <c r="C80">
        <v>107</v>
      </c>
      <c r="D80" t="s">
        <v>23</v>
      </c>
      <c r="E80" t="s">
        <v>27</v>
      </c>
      <c r="F80" t="s">
        <v>21</v>
      </c>
      <c r="G80">
        <v>2</v>
      </c>
      <c r="H80">
        <v>138.25</v>
      </c>
      <c r="I80">
        <v>8.5</v>
      </c>
      <c r="J80" t="s">
        <v>18</v>
      </c>
      <c r="K80" t="s">
        <v>19</v>
      </c>
      <c r="L80">
        <v>4</v>
      </c>
      <c r="M80" s="6">
        <v>45690</v>
      </c>
      <c r="N80" s="6">
        <v>45716</v>
      </c>
      <c r="O80">
        <v>1</v>
      </c>
      <c r="P80">
        <v>146.75</v>
      </c>
    </row>
    <row r="81" spans="1:16">
      <c r="A81" t="s">
        <v>82</v>
      </c>
      <c r="B81" s="6">
        <v>46002</v>
      </c>
      <c r="C81">
        <v>120</v>
      </c>
      <c r="D81" t="s">
        <v>23</v>
      </c>
      <c r="E81" t="s">
        <v>39</v>
      </c>
      <c r="F81" t="s">
        <v>70</v>
      </c>
      <c r="G81">
        <v>2</v>
      </c>
      <c r="H81">
        <v>134.4</v>
      </c>
      <c r="I81">
        <v>8.5</v>
      </c>
      <c r="J81" t="s">
        <v>18</v>
      </c>
      <c r="K81" t="s">
        <v>19</v>
      </c>
      <c r="L81">
        <v>5</v>
      </c>
      <c r="M81" s="6">
        <v>45955</v>
      </c>
      <c r="N81" s="6">
        <v>46003</v>
      </c>
      <c r="O81">
        <v>1</v>
      </c>
      <c r="P81">
        <v>142.9</v>
      </c>
    </row>
    <row r="82" spans="1:16">
      <c r="A82" t="s">
        <v>161</v>
      </c>
      <c r="B82" s="6">
        <v>45879</v>
      </c>
      <c r="C82">
        <v>219</v>
      </c>
      <c r="D82" t="s">
        <v>23</v>
      </c>
      <c r="E82" t="s">
        <v>27</v>
      </c>
      <c r="F82" t="s">
        <v>46</v>
      </c>
      <c r="G82">
        <v>3</v>
      </c>
      <c r="H82">
        <v>127.76</v>
      </c>
      <c r="I82">
        <v>8.5</v>
      </c>
      <c r="J82" t="s">
        <v>18</v>
      </c>
      <c r="K82" t="s">
        <v>19</v>
      </c>
      <c r="L82">
        <v>3</v>
      </c>
      <c r="M82" s="6">
        <v>45860</v>
      </c>
      <c r="N82" s="6">
        <v>45880</v>
      </c>
      <c r="O82">
        <v>1</v>
      </c>
      <c r="P82">
        <v>136.26</v>
      </c>
    </row>
    <row r="83" spans="1:16">
      <c r="A83" t="s">
        <v>45</v>
      </c>
      <c r="B83" s="6">
        <v>46011</v>
      </c>
      <c r="C83">
        <v>215</v>
      </c>
      <c r="D83" t="s">
        <v>23</v>
      </c>
      <c r="E83" t="s">
        <v>27</v>
      </c>
      <c r="F83" t="s">
        <v>46</v>
      </c>
      <c r="G83">
        <v>2</v>
      </c>
      <c r="H83">
        <v>125.22</v>
      </c>
      <c r="I83">
        <v>8.5</v>
      </c>
      <c r="J83" t="s">
        <v>18</v>
      </c>
      <c r="K83" t="s">
        <v>44</v>
      </c>
      <c r="L83">
        <v>5</v>
      </c>
      <c r="M83" s="6">
        <v>45967</v>
      </c>
      <c r="N83" s="6">
        <v>46012</v>
      </c>
      <c r="O83">
        <v>1</v>
      </c>
      <c r="P83">
        <v>133.72</v>
      </c>
    </row>
    <row r="84" spans="1:16">
      <c r="A84" t="s">
        <v>129</v>
      </c>
      <c r="B84" s="6">
        <v>45923</v>
      </c>
      <c r="C84">
        <v>105</v>
      </c>
      <c r="D84" t="s">
        <v>23</v>
      </c>
      <c r="E84" t="s">
        <v>39</v>
      </c>
      <c r="F84" t="s">
        <v>70</v>
      </c>
      <c r="G84">
        <v>3</v>
      </c>
      <c r="H84">
        <v>119.35</v>
      </c>
      <c r="I84">
        <v>8.5</v>
      </c>
      <c r="J84" t="s">
        <v>18</v>
      </c>
      <c r="K84" t="s">
        <v>19</v>
      </c>
      <c r="L84">
        <v>5</v>
      </c>
      <c r="M84" s="6">
        <v>45867</v>
      </c>
      <c r="N84" s="6">
        <v>45924</v>
      </c>
      <c r="O84">
        <v>1</v>
      </c>
      <c r="P84">
        <v>127.85</v>
      </c>
    </row>
    <row r="85" spans="1:16">
      <c r="A85" t="s">
        <v>121</v>
      </c>
      <c r="B85" s="6">
        <v>45969</v>
      </c>
      <c r="C85">
        <v>208</v>
      </c>
      <c r="D85" t="s">
        <v>23</v>
      </c>
      <c r="E85" t="s">
        <v>27</v>
      </c>
      <c r="F85" t="s">
        <v>46</v>
      </c>
      <c r="G85">
        <v>1</v>
      </c>
      <c r="H85">
        <v>118.01</v>
      </c>
      <c r="I85">
        <v>8.5</v>
      </c>
      <c r="J85" t="s">
        <v>18</v>
      </c>
      <c r="K85" t="s">
        <v>19</v>
      </c>
      <c r="L85">
        <v>5</v>
      </c>
      <c r="M85" s="6">
        <v>45912</v>
      </c>
      <c r="N85" s="6">
        <v>45970</v>
      </c>
      <c r="O85">
        <v>1</v>
      </c>
      <c r="P85">
        <v>126.51</v>
      </c>
    </row>
    <row r="86" spans="1:16">
      <c r="A86" t="s">
        <v>148</v>
      </c>
      <c r="B86" s="6">
        <v>45722</v>
      </c>
      <c r="C86">
        <v>215</v>
      </c>
      <c r="D86" t="s">
        <v>15</v>
      </c>
      <c r="E86" t="s">
        <v>39</v>
      </c>
      <c r="F86" t="s">
        <v>33</v>
      </c>
      <c r="G86">
        <v>2</v>
      </c>
      <c r="H86">
        <v>115.11</v>
      </c>
      <c r="I86">
        <v>8.5</v>
      </c>
      <c r="J86" t="s">
        <v>18</v>
      </c>
      <c r="K86" t="s">
        <v>44</v>
      </c>
      <c r="L86">
        <v>4</v>
      </c>
      <c r="M86" s="6">
        <v>45706</v>
      </c>
      <c r="N86" s="6">
        <v>45723</v>
      </c>
      <c r="O86">
        <v>1</v>
      </c>
      <c r="P86">
        <v>123.61</v>
      </c>
    </row>
    <row r="87" spans="1:16">
      <c r="A87" t="s">
        <v>160</v>
      </c>
      <c r="B87" s="6">
        <v>45884</v>
      </c>
      <c r="C87">
        <v>204</v>
      </c>
      <c r="D87" t="s">
        <v>15</v>
      </c>
      <c r="E87" t="s">
        <v>24</v>
      </c>
      <c r="F87" t="s">
        <v>21</v>
      </c>
      <c r="G87">
        <v>3</v>
      </c>
      <c r="H87">
        <v>111.85</v>
      </c>
      <c r="I87">
        <v>8.5</v>
      </c>
      <c r="J87" t="s">
        <v>18</v>
      </c>
      <c r="K87" t="s">
        <v>19</v>
      </c>
      <c r="L87">
        <v>5</v>
      </c>
      <c r="M87" s="6">
        <v>45836</v>
      </c>
      <c r="N87" s="6">
        <v>45885</v>
      </c>
      <c r="O87">
        <v>1</v>
      </c>
      <c r="P87">
        <v>120.35</v>
      </c>
    </row>
    <row r="88" spans="1:16">
      <c r="A88" t="s">
        <v>155</v>
      </c>
      <c r="B88" s="6">
        <v>45966</v>
      </c>
      <c r="C88">
        <v>213</v>
      </c>
      <c r="D88" t="s">
        <v>15</v>
      </c>
      <c r="E88" t="s">
        <v>24</v>
      </c>
      <c r="F88" t="s">
        <v>29</v>
      </c>
      <c r="G88">
        <v>4</v>
      </c>
      <c r="H88">
        <v>110.64</v>
      </c>
      <c r="I88">
        <v>8.5</v>
      </c>
      <c r="J88" t="s">
        <v>18</v>
      </c>
      <c r="K88" t="s">
        <v>44</v>
      </c>
      <c r="L88">
        <v>3</v>
      </c>
      <c r="M88" s="6">
        <v>45937</v>
      </c>
      <c r="N88" s="6">
        <v>45967</v>
      </c>
      <c r="O88">
        <v>1</v>
      </c>
      <c r="P88">
        <v>119.14</v>
      </c>
    </row>
    <row r="89" spans="1:16">
      <c r="A89" t="s">
        <v>110</v>
      </c>
      <c r="B89" s="6">
        <v>45824</v>
      </c>
      <c r="C89">
        <v>215</v>
      </c>
      <c r="D89" t="s">
        <v>15</v>
      </c>
      <c r="E89" t="s">
        <v>16</v>
      </c>
      <c r="F89" t="s">
        <v>17</v>
      </c>
      <c r="G89">
        <v>4</v>
      </c>
      <c r="H89">
        <v>109.53</v>
      </c>
      <c r="I89">
        <v>8.5</v>
      </c>
      <c r="J89" t="s">
        <v>18</v>
      </c>
      <c r="K89" t="s">
        <v>44</v>
      </c>
      <c r="L89">
        <v>5</v>
      </c>
      <c r="M89" s="6">
        <v>45776</v>
      </c>
      <c r="N89" s="6">
        <v>45825</v>
      </c>
      <c r="O89">
        <v>1</v>
      </c>
      <c r="P89">
        <v>118.03</v>
      </c>
    </row>
    <row r="90" spans="1:16">
      <c r="A90" t="s">
        <v>64</v>
      </c>
      <c r="B90" s="6">
        <v>45869</v>
      </c>
      <c r="C90">
        <v>217</v>
      </c>
      <c r="D90" t="s">
        <v>15</v>
      </c>
      <c r="E90" t="s">
        <v>24</v>
      </c>
      <c r="F90" t="s">
        <v>21</v>
      </c>
      <c r="G90">
        <v>1</v>
      </c>
      <c r="H90">
        <v>107.58</v>
      </c>
      <c r="I90">
        <v>8.5</v>
      </c>
      <c r="J90" t="s">
        <v>18</v>
      </c>
      <c r="K90" t="s">
        <v>19</v>
      </c>
      <c r="L90">
        <v>4</v>
      </c>
      <c r="M90" s="6">
        <v>45753</v>
      </c>
      <c r="N90" s="6">
        <v>45870</v>
      </c>
      <c r="O90">
        <v>1</v>
      </c>
      <c r="P90">
        <v>116.08</v>
      </c>
    </row>
    <row r="91" spans="1:16">
      <c r="A91" t="s">
        <v>89</v>
      </c>
      <c r="B91" s="6">
        <v>45790</v>
      </c>
      <c r="C91">
        <v>109</v>
      </c>
      <c r="D91" t="s">
        <v>38</v>
      </c>
      <c r="E91" t="s">
        <v>27</v>
      </c>
      <c r="F91" t="s">
        <v>25</v>
      </c>
      <c r="G91">
        <v>2</v>
      </c>
      <c r="H91">
        <v>103.38</v>
      </c>
      <c r="I91">
        <v>8.5</v>
      </c>
      <c r="J91" t="s">
        <v>18</v>
      </c>
      <c r="K91" t="s">
        <v>19</v>
      </c>
      <c r="L91">
        <v>5</v>
      </c>
      <c r="M91" s="6">
        <v>45760</v>
      </c>
      <c r="N91" s="6">
        <v>45791</v>
      </c>
      <c r="O91">
        <v>1</v>
      </c>
      <c r="P91">
        <v>111.88</v>
      </c>
    </row>
    <row r="92" spans="1:16">
      <c r="A92" t="s">
        <v>14</v>
      </c>
      <c r="B92" s="6">
        <v>45990</v>
      </c>
      <c r="C92">
        <v>118</v>
      </c>
      <c r="D92" t="s">
        <v>15</v>
      </c>
      <c r="E92" t="s">
        <v>16</v>
      </c>
      <c r="F92" t="s">
        <v>17</v>
      </c>
      <c r="G92">
        <v>4</v>
      </c>
      <c r="H92">
        <v>98.07</v>
      </c>
      <c r="I92">
        <v>8.5</v>
      </c>
      <c r="J92" t="s">
        <v>18</v>
      </c>
      <c r="K92" t="s">
        <v>19</v>
      </c>
      <c r="L92">
        <v>5</v>
      </c>
      <c r="M92" s="6">
        <v>45988</v>
      </c>
      <c r="N92" s="6">
        <v>45991</v>
      </c>
      <c r="O92">
        <v>1</v>
      </c>
      <c r="P92">
        <v>106.57</v>
      </c>
    </row>
    <row r="93" spans="1:16">
      <c r="A93" t="s">
        <v>55</v>
      </c>
      <c r="B93" s="6">
        <v>45775</v>
      </c>
      <c r="C93">
        <v>104</v>
      </c>
      <c r="D93" t="s">
        <v>15</v>
      </c>
      <c r="E93" t="s">
        <v>24</v>
      </c>
      <c r="F93" t="s">
        <v>46</v>
      </c>
      <c r="G93">
        <v>2</v>
      </c>
      <c r="H93">
        <v>97.13</v>
      </c>
      <c r="I93">
        <v>8.5</v>
      </c>
      <c r="J93" t="s">
        <v>18</v>
      </c>
      <c r="K93" t="s">
        <v>19</v>
      </c>
      <c r="L93">
        <v>4</v>
      </c>
      <c r="M93" s="6">
        <v>45770</v>
      </c>
      <c r="N93" s="6">
        <v>45776</v>
      </c>
      <c r="O93">
        <v>1</v>
      </c>
      <c r="P93">
        <v>105.63</v>
      </c>
    </row>
    <row r="94" spans="1:16">
      <c r="A94" t="s">
        <v>20</v>
      </c>
      <c r="B94" s="6">
        <v>45879</v>
      </c>
      <c r="C94">
        <v>106</v>
      </c>
      <c r="D94" t="s">
        <v>15</v>
      </c>
      <c r="E94" t="s">
        <v>16</v>
      </c>
      <c r="F94" t="s">
        <v>21</v>
      </c>
      <c r="G94">
        <v>3</v>
      </c>
      <c r="H94">
        <v>95.8</v>
      </c>
      <c r="I94">
        <v>8.5</v>
      </c>
      <c r="J94" t="s">
        <v>18</v>
      </c>
      <c r="K94" t="s">
        <v>19</v>
      </c>
      <c r="L94">
        <v>5</v>
      </c>
      <c r="M94" s="6">
        <v>45877</v>
      </c>
      <c r="N94" s="6">
        <v>45880</v>
      </c>
      <c r="O94">
        <v>1</v>
      </c>
      <c r="P94">
        <v>104.3</v>
      </c>
    </row>
    <row r="95" spans="1:16">
      <c r="A95" t="s">
        <v>30</v>
      </c>
      <c r="B95" s="6">
        <v>45782</v>
      </c>
      <c r="C95">
        <v>118</v>
      </c>
      <c r="D95" t="s">
        <v>43</v>
      </c>
      <c r="E95" t="s">
        <v>27</v>
      </c>
      <c r="F95" t="s">
        <v>17</v>
      </c>
      <c r="G95">
        <v>2</v>
      </c>
      <c r="H95">
        <v>95.66</v>
      </c>
      <c r="I95">
        <v>8.5</v>
      </c>
      <c r="J95" t="s">
        <v>18</v>
      </c>
      <c r="K95" t="s">
        <v>19</v>
      </c>
      <c r="L95">
        <v>5</v>
      </c>
      <c r="M95" s="6">
        <v>45757</v>
      </c>
      <c r="N95" s="6">
        <v>45783</v>
      </c>
      <c r="O95">
        <v>1</v>
      </c>
      <c r="P95">
        <v>104.16</v>
      </c>
    </row>
    <row r="96" spans="1:16">
      <c r="A96" t="s">
        <v>145</v>
      </c>
      <c r="B96" s="6">
        <v>45902</v>
      </c>
      <c r="C96">
        <v>115</v>
      </c>
      <c r="D96" t="s">
        <v>38</v>
      </c>
      <c r="E96" t="s">
        <v>27</v>
      </c>
      <c r="F96" t="s">
        <v>46</v>
      </c>
      <c r="G96">
        <v>2</v>
      </c>
      <c r="H96">
        <v>85.42</v>
      </c>
      <c r="I96">
        <v>8.5</v>
      </c>
      <c r="J96" t="s">
        <v>18</v>
      </c>
      <c r="K96" t="s">
        <v>35</v>
      </c>
      <c r="L96">
        <v>5</v>
      </c>
      <c r="M96" s="6">
        <v>45892</v>
      </c>
      <c r="N96" s="6">
        <v>45903</v>
      </c>
      <c r="O96">
        <v>1</v>
      </c>
      <c r="P96">
        <v>93.92</v>
      </c>
    </row>
    <row r="97" spans="1:16">
      <c r="A97" t="s">
        <v>151</v>
      </c>
      <c r="B97" s="6">
        <v>45895</v>
      </c>
      <c r="C97">
        <v>114</v>
      </c>
      <c r="D97" t="s">
        <v>43</v>
      </c>
      <c r="E97" t="s">
        <v>24</v>
      </c>
      <c r="F97" t="s">
        <v>25</v>
      </c>
      <c r="G97">
        <v>2</v>
      </c>
      <c r="H97">
        <v>76.09</v>
      </c>
      <c r="I97">
        <v>8.5</v>
      </c>
      <c r="J97" t="s">
        <v>18</v>
      </c>
      <c r="K97" t="s">
        <v>19</v>
      </c>
      <c r="L97">
        <v>3</v>
      </c>
      <c r="M97" s="6">
        <v>45895</v>
      </c>
      <c r="N97" s="6">
        <v>45896</v>
      </c>
      <c r="O97">
        <v>1</v>
      </c>
      <c r="P97">
        <v>84.59</v>
      </c>
    </row>
    <row r="98" spans="1:16">
      <c r="A98" t="s">
        <v>60</v>
      </c>
      <c r="B98" s="6">
        <v>45944</v>
      </c>
      <c r="C98">
        <v>215</v>
      </c>
      <c r="D98" t="s">
        <v>43</v>
      </c>
      <c r="E98" t="s">
        <v>24</v>
      </c>
      <c r="F98" t="s">
        <v>25</v>
      </c>
      <c r="G98">
        <v>2</v>
      </c>
      <c r="H98">
        <v>74.16</v>
      </c>
      <c r="I98">
        <v>8.5</v>
      </c>
      <c r="J98" t="s">
        <v>18</v>
      </c>
      <c r="K98" t="s">
        <v>19</v>
      </c>
      <c r="L98">
        <v>4</v>
      </c>
      <c r="M98" s="6">
        <v>45940</v>
      </c>
      <c r="N98" s="6">
        <v>45945</v>
      </c>
      <c r="O98">
        <v>1</v>
      </c>
      <c r="P98">
        <v>82.66</v>
      </c>
    </row>
    <row r="99" spans="1:16">
      <c r="A99" t="s">
        <v>81</v>
      </c>
      <c r="B99" s="6">
        <v>45793</v>
      </c>
      <c r="C99">
        <v>208</v>
      </c>
      <c r="D99" t="s">
        <v>43</v>
      </c>
      <c r="E99" t="s">
        <v>16</v>
      </c>
      <c r="F99" t="s">
        <v>70</v>
      </c>
      <c r="G99">
        <v>2</v>
      </c>
      <c r="H99">
        <v>71.75</v>
      </c>
      <c r="I99">
        <v>8.5</v>
      </c>
      <c r="J99" t="s">
        <v>18</v>
      </c>
      <c r="K99" t="s">
        <v>19</v>
      </c>
      <c r="L99">
        <v>4</v>
      </c>
      <c r="M99" s="6">
        <v>45747</v>
      </c>
      <c r="N99" s="6">
        <v>45794</v>
      </c>
      <c r="O99">
        <v>1</v>
      </c>
      <c r="P99">
        <v>80.25</v>
      </c>
    </row>
    <row r="100" spans="1:16">
      <c r="A100" t="s">
        <v>32</v>
      </c>
      <c r="B100" s="6">
        <v>45994</v>
      </c>
      <c r="C100">
        <v>111</v>
      </c>
      <c r="D100" t="s">
        <v>15</v>
      </c>
      <c r="E100" t="s">
        <v>16</v>
      </c>
      <c r="F100" t="s">
        <v>33</v>
      </c>
      <c r="G100">
        <v>2</v>
      </c>
      <c r="H100">
        <v>103.1</v>
      </c>
      <c r="I100">
        <v>8.5</v>
      </c>
      <c r="J100" t="s">
        <v>34</v>
      </c>
      <c r="K100" t="s">
        <v>35</v>
      </c>
      <c r="M100" s="6">
        <v>45955</v>
      </c>
      <c r="N100" s="6">
        <v>45995</v>
      </c>
      <c r="O100">
        <v>1</v>
      </c>
      <c r="P100">
        <v>0</v>
      </c>
    </row>
    <row r="101" spans="1:16">
      <c r="A101" t="s">
        <v>49</v>
      </c>
      <c r="B101" s="6">
        <v>45939</v>
      </c>
      <c r="C101">
        <v>101</v>
      </c>
      <c r="D101" t="s">
        <v>23</v>
      </c>
      <c r="E101" t="s">
        <v>39</v>
      </c>
      <c r="F101" t="s">
        <v>46</v>
      </c>
      <c r="G101">
        <v>1</v>
      </c>
      <c r="H101">
        <v>142.52000000000001</v>
      </c>
      <c r="I101">
        <v>8.5</v>
      </c>
      <c r="J101" t="s">
        <v>34</v>
      </c>
      <c r="K101" t="s">
        <v>44</v>
      </c>
      <c r="M101" s="6">
        <v>45880</v>
      </c>
      <c r="N101" s="6">
        <v>45944</v>
      </c>
      <c r="O101">
        <v>5</v>
      </c>
      <c r="P101">
        <v>0</v>
      </c>
    </row>
    <row r="102" spans="1:16">
      <c r="A102" t="s">
        <v>50</v>
      </c>
      <c r="B102" s="6">
        <v>45785</v>
      </c>
      <c r="C102">
        <v>217</v>
      </c>
      <c r="D102" t="s">
        <v>43</v>
      </c>
      <c r="E102" t="s">
        <v>24</v>
      </c>
      <c r="F102" t="s">
        <v>29</v>
      </c>
      <c r="G102">
        <v>2</v>
      </c>
      <c r="H102">
        <v>90.4</v>
      </c>
      <c r="I102">
        <v>8.5</v>
      </c>
      <c r="J102" t="s">
        <v>51</v>
      </c>
      <c r="K102" t="s">
        <v>44</v>
      </c>
      <c r="M102" s="6">
        <v>45769</v>
      </c>
      <c r="N102" s="6">
        <v>45786</v>
      </c>
      <c r="O102">
        <v>1</v>
      </c>
      <c r="P102">
        <v>0</v>
      </c>
    </row>
    <row r="103" spans="1:16">
      <c r="A103" t="s">
        <v>57</v>
      </c>
      <c r="B103" s="6">
        <v>45844</v>
      </c>
      <c r="C103">
        <v>210</v>
      </c>
      <c r="D103" t="s">
        <v>43</v>
      </c>
      <c r="E103" t="s">
        <v>24</v>
      </c>
      <c r="F103" t="s">
        <v>46</v>
      </c>
      <c r="G103">
        <v>2</v>
      </c>
      <c r="H103">
        <v>88.21</v>
      </c>
      <c r="I103">
        <v>8.5</v>
      </c>
      <c r="J103" t="s">
        <v>34</v>
      </c>
      <c r="K103" t="s">
        <v>35</v>
      </c>
      <c r="M103" s="6">
        <v>45817</v>
      </c>
      <c r="N103" s="6">
        <v>45848</v>
      </c>
      <c r="O103">
        <v>4</v>
      </c>
      <c r="P103">
        <v>0</v>
      </c>
    </row>
    <row r="104" spans="1:16">
      <c r="A104" t="s">
        <v>74</v>
      </c>
      <c r="B104" s="6">
        <v>45852</v>
      </c>
      <c r="C104">
        <v>110</v>
      </c>
      <c r="D104" t="s">
        <v>38</v>
      </c>
      <c r="E104" t="s">
        <v>16</v>
      </c>
      <c r="F104" t="s">
        <v>46</v>
      </c>
      <c r="G104">
        <v>2</v>
      </c>
      <c r="H104">
        <v>95.94</v>
      </c>
      <c r="I104">
        <v>8.5</v>
      </c>
      <c r="J104" t="s">
        <v>34</v>
      </c>
      <c r="K104" t="s">
        <v>35</v>
      </c>
      <c r="M104" s="6">
        <v>45816</v>
      </c>
      <c r="N104" s="6">
        <v>45857</v>
      </c>
      <c r="O104">
        <v>5</v>
      </c>
      <c r="P104">
        <v>0</v>
      </c>
    </row>
    <row r="105" spans="1:16">
      <c r="A105" t="s">
        <v>76</v>
      </c>
      <c r="B105" s="6">
        <v>45784</v>
      </c>
      <c r="C105">
        <v>112</v>
      </c>
      <c r="D105" t="s">
        <v>38</v>
      </c>
      <c r="E105" t="s">
        <v>24</v>
      </c>
      <c r="F105" t="s">
        <v>17</v>
      </c>
      <c r="G105">
        <v>4</v>
      </c>
      <c r="H105">
        <v>112.73</v>
      </c>
      <c r="I105">
        <v>8.5</v>
      </c>
      <c r="J105" t="s">
        <v>34</v>
      </c>
      <c r="K105" t="s">
        <v>44</v>
      </c>
      <c r="M105" s="6">
        <v>45732</v>
      </c>
      <c r="N105" s="6">
        <v>45786</v>
      </c>
      <c r="O105">
        <v>2</v>
      </c>
      <c r="P105">
        <v>0</v>
      </c>
    </row>
    <row r="106" spans="1:16">
      <c r="A106" t="s">
        <v>79</v>
      </c>
      <c r="B106" s="6">
        <v>45842</v>
      </c>
      <c r="C106">
        <v>215</v>
      </c>
      <c r="D106" t="s">
        <v>23</v>
      </c>
      <c r="E106" t="s">
        <v>24</v>
      </c>
      <c r="F106" t="s">
        <v>46</v>
      </c>
      <c r="G106">
        <v>2</v>
      </c>
      <c r="H106">
        <v>116.25</v>
      </c>
      <c r="I106">
        <v>8.5</v>
      </c>
      <c r="J106" t="s">
        <v>51</v>
      </c>
      <c r="K106" t="s">
        <v>19</v>
      </c>
      <c r="M106" s="6">
        <v>45816</v>
      </c>
      <c r="N106" s="6">
        <v>45847</v>
      </c>
      <c r="O106">
        <v>5</v>
      </c>
      <c r="P106">
        <v>0</v>
      </c>
    </row>
    <row r="107" spans="1:16">
      <c r="A107" t="s">
        <v>84</v>
      </c>
      <c r="B107" s="6">
        <v>45998</v>
      </c>
      <c r="C107">
        <v>209</v>
      </c>
      <c r="D107" t="s">
        <v>38</v>
      </c>
      <c r="E107" t="s">
        <v>16</v>
      </c>
      <c r="F107" t="s">
        <v>21</v>
      </c>
      <c r="G107">
        <v>2</v>
      </c>
      <c r="H107">
        <v>108.81</v>
      </c>
      <c r="I107">
        <v>8.5</v>
      </c>
      <c r="J107" t="s">
        <v>51</v>
      </c>
      <c r="K107" t="s">
        <v>44</v>
      </c>
      <c r="M107" s="6">
        <v>45968</v>
      </c>
      <c r="N107" s="6">
        <v>46001</v>
      </c>
      <c r="O107">
        <v>3</v>
      </c>
      <c r="P107">
        <v>0</v>
      </c>
    </row>
    <row r="108" spans="1:16">
      <c r="A108" t="s">
        <v>85</v>
      </c>
      <c r="B108" s="6">
        <v>46000</v>
      </c>
      <c r="C108">
        <v>213</v>
      </c>
      <c r="D108" t="s">
        <v>23</v>
      </c>
      <c r="E108" t="s">
        <v>24</v>
      </c>
      <c r="F108" t="s">
        <v>25</v>
      </c>
      <c r="G108">
        <v>2</v>
      </c>
      <c r="H108">
        <v>133.55000000000001</v>
      </c>
      <c r="I108">
        <v>8.5</v>
      </c>
      <c r="J108" t="s">
        <v>34</v>
      </c>
      <c r="K108" t="s">
        <v>19</v>
      </c>
      <c r="L108">
        <v>3</v>
      </c>
      <c r="M108" s="6">
        <v>45981</v>
      </c>
      <c r="N108" s="6">
        <v>46001</v>
      </c>
      <c r="O108">
        <v>1</v>
      </c>
      <c r="P108">
        <v>0</v>
      </c>
    </row>
    <row r="109" spans="1:16">
      <c r="A109" t="s">
        <v>92</v>
      </c>
      <c r="B109" s="6">
        <v>45983</v>
      </c>
      <c r="C109">
        <v>209</v>
      </c>
      <c r="D109" t="s">
        <v>43</v>
      </c>
      <c r="E109" t="s">
        <v>27</v>
      </c>
      <c r="F109" t="s">
        <v>17</v>
      </c>
      <c r="G109">
        <v>2</v>
      </c>
      <c r="H109">
        <v>78.400000000000006</v>
      </c>
      <c r="I109">
        <v>8.5</v>
      </c>
      <c r="J109" t="s">
        <v>34</v>
      </c>
      <c r="K109" t="s">
        <v>35</v>
      </c>
      <c r="M109" s="6">
        <v>45965</v>
      </c>
      <c r="N109" s="6">
        <v>45985</v>
      </c>
      <c r="O109">
        <v>2</v>
      </c>
      <c r="P109">
        <v>0</v>
      </c>
    </row>
    <row r="110" spans="1:16">
      <c r="A110" t="s">
        <v>98</v>
      </c>
      <c r="B110" s="6">
        <v>45792</v>
      </c>
      <c r="C110">
        <v>102</v>
      </c>
      <c r="D110" t="s">
        <v>43</v>
      </c>
      <c r="E110" t="s">
        <v>27</v>
      </c>
      <c r="F110" t="s">
        <v>17</v>
      </c>
      <c r="G110">
        <v>4</v>
      </c>
      <c r="H110">
        <v>71.72</v>
      </c>
      <c r="I110">
        <v>8.5</v>
      </c>
      <c r="J110" t="s">
        <v>51</v>
      </c>
      <c r="K110" t="s">
        <v>44</v>
      </c>
      <c r="M110" s="6">
        <v>45761</v>
      </c>
      <c r="N110" s="6">
        <v>45793</v>
      </c>
      <c r="O110">
        <v>1</v>
      </c>
      <c r="P110">
        <v>0</v>
      </c>
    </row>
    <row r="111" spans="1:16">
      <c r="A111" t="s">
        <v>100</v>
      </c>
      <c r="B111" s="6">
        <v>45794</v>
      </c>
      <c r="C111">
        <v>219</v>
      </c>
      <c r="D111" t="s">
        <v>43</v>
      </c>
      <c r="E111" t="s">
        <v>16</v>
      </c>
      <c r="F111" t="s">
        <v>202</v>
      </c>
      <c r="G111">
        <v>1</v>
      </c>
      <c r="H111">
        <v>84.47</v>
      </c>
      <c r="I111">
        <v>8.5</v>
      </c>
      <c r="J111" t="s">
        <v>34</v>
      </c>
      <c r="K111" t="s">
        <v>44</v>
      </c>
      <c r="M111" s="6">
        <v>45783</v>
      </c>
      <c r="N111" s="6">
        <v>45797</v>
      </c>
      <c r="O111">
        <v>3</v>
      </c>
      <c r="P111">
        <v>0</v>
      </c>
    </row>
    <row r="112" spans="1:16">
      <c r="A112" t="s">
        <v>102</v>
      </c>
      <c r="B112" s="6">
        <v>45684</v>
      </c>
      <c r="C112">
        <v>208</v>
      </c>
      <c r="D112" t="s">
        <v>23</v>
      </c>
      <c r="E112" t="s">
        <v>24</v>
      </c>
      <c r="F112" t="s">
        <v>21</v>
      </c>
      <c r="G112">
        <v>4</v>
      </c>
      <c r="H112">
        <v>103.81</v>
      </c>
      <c r="I112">
        <v>8.5</v>
      </c>
      <c r="J112" t="s">
        <v>34</v>
      </c>
      <c r="K112" t="s">
        <v>44</v>
      </c>
      <c r="M112" s="6">
        <v>45649</v>
      </c>
      <c r="N112" s="6">
        <v>45687</v>
      </c>
      <c r="O112">
        <v>3</v>
      </c>
      <c r="P112">
        <v>0</v>
      </c>
    </row>
    <row r="113" spans="1:16">
      <c r="A113" t="s">
        <v>115</v>
      </c>
      <c r="B113" s="6">
        <v>45889</v>
      </c>
      <c r="C113">
        <v>218</v>
      </c>
      <c r="D113" t="s">
        <v>38</v>
      </c>
      <c r="E113" t="s">
        <v>27</v>
      </c>
      <c r="F113" t="s">
        <v>21</v>
      </c>
      <c r="G113">
        <v>3</v>
      </c>
      <c r="H113">
        <v>86.81</v>
      </c>
      <c r="I113">
        <v>8.5</v>
      </c>
      <c r="J113" t="s">
        <v>51</v>
      </c>
      <c r="K113" t="s">
        <v>44</v>
      </c>
      <c r="M113" s="6">
        <v>45833</v>
      </c>
      <c r="N113" s="6">
        <v>45892</v>
      </c>
      <c r="O113">
        <v>3</v>
      </c>
      <c r="P113">
        <v>0</v>
      </c>
    </row>
    <row r="114" spans="1:16">
      <c r="A114" t="s">
        <v>123</v>
      </c>
      <c r="B114" s="6">
        <v>45988</v>
      </c>
      <c r="C114">
        <v>211</v>
      </c>
      <c r="D114" t="s">
        <v>23</v>
      </c>
      <c r="E114" t="s">
        <v>39</v>
      </c>
      <c r="F114" t="s">
        <v>70</v>
      </c>
      <c r="G114">
        <v>2</v>
      </c>
      <c r="H114">
        <v>133.44999999999999</v>
      </c>
      <c r="I114">
        <v>8.5</v>
      </c>
      <c r="J114" t="s">
        <v>34</v>
      </c>
      <c r="K114" t="s">
        <v>44</v>
      </c>
      <c r="M114" s="6">
        <v>45982</v>
      </c>
      <c r="N114" s="6">
        <v>45992</v>
      </c>
      <c r="O114">
        <v>4</v>
      </c>
      <c r="P114">
        <v>0</v>
      </c>
    </row>
    <row r="115" spans="1:16">
      <c r="A115" t="s">
        <v>126</v>
      </c>
      <c r="B115" s="6">
        <v>45767</v>
      </c>
      <c r="C115">
        <v>109</v>
      </c>
      <c r="D115" t="s">
        <v>23</v>
      </c>
      <c r="E115" t="s">
        <v>39</v>
      </c>
      <c r="F115" t="s">
        <v>29</v>
      </c>
      <c r="G115">
        <v>2</v>
      </c>
      <c r="H115">
        <v>114.25</v>
      </c>
      <c r="I115">
        <v>8.5</v>
      </c>
      <c r="J115" t="s">
        <v>51</v>
      </c>
      <c r="K115" t="s">
        <v>44</v>
      </c>
      <c r="M115" s="6">
        <v>45731</v>
      </c>
      <c r="N115" s="6">
        <v>45770</v>
      </c>
      <c r="O115">
        <v>3</v>
      </c>
      <c r="P115">
        <v>0</v>
      </c>
    </row>
    <row r="116" spans="1:16">
      <c r="A116" t="s">
        <v>135</v>
      </c>
      <c r="B116" s="6">
        <v>45709</v>
      </c>
      <c r="C116">
        <v>107</v>
      </c>
      <c r="D116" t="s">
        <v>38</v>
      </c>
      <c r="E116" t="s">
        <v>16</v>
      </c>
      <c r="F116" t="s">
        <v>29</v>
      </c>
      <c r="G116">
        <v>2</v>
      </c>
      <c r="H116">
        <v>112.1</v>
      </c>
      <c r="I116">
        <v>8.5</v>
      </c>
      <c r="J116" t="s">
        <v>51</v>
      </c>
      <c r="K116" t="s">
        <v>19</v>
      </c>
      <c r="L116">
        <v>4</v>
      </c>
      <c r="M116" s="6">
        <v>45702</v>
      </c>
      <c r="N116" s="6">
        <v>45713</v>
      </c>
      <c r="O116">
        <v>4</v>
      </c>
      <c r="P116">
        <v>0</v>
      </c>
    </row>
    <row r="117" spans="1:16">
      <c r="A117" t="s">
        <v>142</v>
      </c>
      <c r="B117" s="6">
        <v>45988</v>
      </c>
      <c r="C117">
        <v>117</v>
      </c>
      <c r="D117" t="s">
        <v>15</v>
      </c>
      <c r="E117" t="s">
        <v>24</v>
      </c>
      <c r="F117" t="s">
        <v>29</v>
      </c>
      <c r="G117">
        <v>4</v>
      </c>
      <c r="H117">
        <v>96.18</v>
      </c>
      <c r="I117">
        <v>8.5</v>
      </c>
      <c r="J117" t="s">
        <v>34</v>
      </c>
      <c r="K117" t="s">
        <v>35</v>
      </c>
      <c r="M117" s="6">
        <v>45948</v>
      </c>
      <c r="N117" s="6">
        <v>45990</v>
      </c>
      <c r="O117">
        <v>2</v>
      </c>
      <c r="P117">
        <v>0</v>
      </c>
    </row>
    <row r="118" spans="1:16">
      <c r="A118" t="s">
        <v>153</v>
      </c>
      <c r="B118" s="6">
        <v>45729</v>
      </c>
      <c r="C118">
        <v>112</v>
      </c>
      <c r="D118" t="s">
        <v>43</v>
      </c>
      <c r="E118" t="s">
        <v>24</v>
      </c>
      <c r="F118" t="s">
        <v>17</v>
      </c>
      <c r="G118">
        <v>1</v>
      </c>
      <c r="H118">
        <v>78.959999999999994</v>
      </c>
      <c r="I118">
        <v>8.5</v>
      </c>
      <c r="J118" t="s">
        <v>34</v>
      </c>
      <c r="K118" t="s">
        <v>44</v>
      </c>
      <c r="M118" s="6">
        <v>45712</v>
      </c>
      <c r="N118" s="6">
        <v>45734</v>
      </c>
      <c r="O118">
        <v>5</v>
      </c>
      <c r="P118">
        <v>0</v>
      </c>
    </row>
    <row r="119" spans="1:16">
      <c r="A119" t="s">
        <v>159</v>
      </c>
      <c r="B119" s="6">
        <v>45823</v>
      </c>
      <c r="C119">
        <v>117</v>
      </c>
      <c r="D119" t="s">
        <v>23</v>
      </c>
      <c r="E119" t="s">
        <v>16</v>
      </c>
      <c r="F119" t="s">
        <v>29</v>
      </c>
      <c r="G119">
        <v>2</v>
      </c>
      <c r="H119">
        <v>112.35</v>
      </c>
      <c r="I119">
        <v>8.5</v>
      </c>
      <c r="J119" t="s">
        <v>34</v>
      </c>
      <c r="K119" t="s">
        <v>35</v>
      </c>
      <c r="M119" s="6">
        <v>45802</v>
      </c>
      <c r="N119" s="6">
        <v>45827</v>
      </c>
      <c r="O119">
        <v>4</v>
      </c>
      <c r="P119">
        <v>0</v>
      </c>
    </row>
    <row r="120" spans="1:16">
      <c r="A120" t="s">
        <v>162</v>
      </c>
      <c r="B120" s="6">
        <v>45842</v>
      </c>
      <c r="C120">
        <v>108</v>
      </c>
      <c r="D120" t="s">
        <v>23</v>
      </c>
      <c r="E120" t="s">
        <v>16</v>
      </c>
      <c r="F120" t="s">
        <v>25</v>
      </c>
      <c r="G120">
        <v>2</v>
      </c>
      <c r="H120">
        <v>139.58000000000001</v>
      </c>
      <c r="I120">
        <v>8.5</v>
      </c>
      <c r="J120" t="s">
        <v>51</v>
      </c>
      <c r="K120" t="s">
        <v>44</v>
      </c>
      <c r="M120" s="6">
        <v>45818</v>
      </c>
      <c r="N120" s="6">
        <v>45847</v>
      </c>
      <c r="O120">
        <v>5</v>
      </c>
      <c r="P120">
        <v>0</v>
      </c>
    </row>
    <row r="121" spans="1:16">
      <c r="A121" t="s">
        <v>163</v>
      </c>
      <c r="B121" s="6">
        <v>45974</v>
      </c>
      <c r="C121">
        <v>112</v>
      </c>
      <c r="D121" t="s">
        <v>23</v>
      </c>
      <c r="E121" t="s">
        <v>27</v>
      </c>
      <c r="F121" t="s">
        <v>70</v>
      </c>
      <c r="G121">
        <v>2</v>
      </c>
      <c r="H121">
        <v>110.21</v>
      </c>
      <c r="I121">
        <v>8.5</v>
      </c>
      <c r="J121" t="s">
        <v>34</v>
      </c>
      <c r="K121" t="s">
        <v>44</v>
      </c>
      <c r="M121" s="6">
        <v>45972</v>
      </c>
      <c r="N121" s="6">
        <v>45977</v>
      </c>
      <c r="O121">
        <v>3</v>
      </c>
      <c r="P121">
        <v>0</v>
      </c>
    </row>
  </sheetData>
  <conditionalFormatting sqref="A1:A1048576">
    <cfRule type="duplicateValues" dxfId="3" priority="2"/>
    <cfRule type="duplicateValues" dxfId="2" priority="3"/>
  </conditionalFormatting>
  <conditionalFormatting sqref="L1:L1048576">
    <cfRule type="containsBlanks" dxfId="1" priority="1">
      <formula>LEN(TRIM(L1))=0</formula>
    </cfRule>
  </conditionalFormatting>
  <conditionalFormatting sqref="P1:P1048576">
    <cfRule type="cellIs" dxfId="0" priority="4" operator="greaterThan">
      <formula>300</formula>
    </cfRule>
  </conditionalFormatting>
  <dataValidations count="1">
    <dataValidation type="list" allowBlank="1" showInputMessage="1" showErrorMessage="1" sqref="K1 R7 P1:P1048576" xr:uid="{71F2CCCA-0E3D-004E-89DE-6B8CDD50DB32}">
      <formula1>"Paid,Pending,Refunded"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A42EE-81C4-7A4E-947B-CDF616D1F73B}">
  <dimension ref="A1:B10"/>
  <sheetViews>
    <sheetView zoomScale="287" workbookViewId="0">
      <selection activeCell="B10" sqref="B10"/>
    </sheetView>
  </sheetViews>
  <sheetFormatPr baseColWidth="10" defaultRowHeight="14"/>
  <cols>
    <col min="1" max="1" width="25.6640625" customWidth="1"/>
  </cols>
  <sheetData>
    <row r="1" spans="1:2">
      <c r="A1" t="s">
        <v>203</v>
      </c>
    </row>
    <row r="3" spans="1:2">
      <c r="A3" t="s">
        <v>204</v>
      </c>
      <c r="B3">
        <f>SUM(Cleaned_Motel_Data[Estimated_Revenue_GBP])</f>
        <v>28774.549999999996</v>
      </c>
    </row>
    <row r="4" spans="1:2">
      <c r="A4" t="s">
        <v>205</v>
      </c>
      <c r="B4">
        <f>COUNTA(Cleaned_Motel_Data[Booking_ID])</f>
        <v>120</v>
      </c>
    </row>
    <row r="5" spans="1:2">
      <c r="A5" t="s">
        <v>206</v>
      </c>
      <c r="B5">
        <f>COUNTIF(Cleaned_Motel_Data[Booking_Status],"Completed")</f>
        <v>98</v>
      </c>
    </row>
    <row r="6" spans="1:2">
      <c r="A6" t="s">
        <v>207</v>
      </c>
      <c r="B6">
        <f>COUNTIF(Cleaned_Motel_Data[Booking_Status],"Cancelled")</f>
        <v>14</v>
      </c>
    </row>
    <row r="7" spans="1:2">
      <c r="A7" t="s">
        <v>208</v>
      </c>
      <c r="B7">
        <f>COUNTIF(Cleaned_Motel_Data[Booking_Status],"No-Show")</f>
        <v>8</v>
      </c>
    </row>
    <row r="8" spans="1:2">
      <c r="A8" t="s">
        <v>209</v>
      </c>
      <c r="B8">
        <f>ROUND(AVERAGE(Cleaned_Motel_Data[Nightly_Rate_GBP]),2)</f>
        <v>103.81</v>
      </c>
    </row>
    <row r="9" spans="1:2">
      <c r="A9" t="s">
        <v>210</v>
      </c>
      <c r="B9">
        <f>ROUND(AVERAGE(Cleaned_Motel_Data[Guest_Rating]),2)</f>
        <v>4.1500000000000004</v>
      </c>
    </row>
    <row r="10" spans="1:2">
      <c r="A10" t="s">
        <v>211</v>
      </c>
      <c r="B10">
        <f>B6/B4</f>
        <v>0.11666666666666667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7ED4-2C8B-2947-B24D-EF8418ABDCAE}">
  <dimension ref="A1:O6"/>
  <sheetViews>
    <sheetView showGridLines="0" tabSelected="1" zoomScale="75" workbookViewId="0">
      <selection activeCell="Q29" sqref="Q29"/>
    </sheetView>
  </sheetViews>
  <sheetFormatPr baseColWidth="10" defaultRowHeight="14"/>
  <sheetData>
    <row r="1" spans="1:15">
      <c r="A1" s="20" t="s">
        <v>229</v>
      </c>
      <c r="B1" s="21"/>
      <c r="C1" s="21"/>
      <c r="D1" s="21"/>
      <c r="E1" s="21"/>
      <c r="F1" s="21"/>
      <c r="G1" s="21"/>
      <c r="H1" s="21"/>
      <c r="I1" s="21"/>
      <c r="J1" s="21"/>
      <c r="K1" s="21"/>
      <c r="L1" s="21"/>
      <c r="M1" s="21"/>
      <c r="N1" s="21"/>
      <c r="O1" s="21"/>
    </row>
    <row r="2" spans="1:15">
      <c r="A2" s="21"/>
      <c r="B2" s="21"/>
      <c r="C2" s="21"/>
      <c r="D2" s="21"/>
      <c r="E2" s="21"/>
      <c r="F2" s="21"/>
      <c r="G2" s="21"/>
      <c r="H2" s="21"/>
      <c r="I2" s="21"/>
      <c r="J2" s="21"/>
      <c r="K2" s="21"/>
      <c r="L2" s="21"/>
      <c r="M2" s="21"/>
      <c r="N2" s="21"/>
      <c r="O2" s="21"/>
    </row>
    <row r="3" spans="1:15">
      <c r="A3" s="21"/>
      <c r="B3" s="21"/>
      <c r="C3" s="21"/>
      <c r="D3" s="21"/>
      <c r="E3" s="21"/>
      <c r="F3" s="21"/>
      <c r="G3" s="21"/>
      <c r="H3" s="21"/>
      <c r="I3" s="21"/>
      <c r="J3" s="21"/>
      <c r="K3" s="21"/>
      <c r="L3" s="21"/>
      <c r="M3" s="21"/>
      <c r="N3" s="21"/>
      <c r="O3" s="21"/>
    </row>
    <row r="4" spans="1:15" ht="15">
      <c r="A4" s="22" t="s">
        <v>204</v>
      </c>
      <c r="B4" s="23"/>
      <c r="C4" s="24"/>
      <c r="D4" s="18" t="s">
        <v>205</v>
      </c>
      <c r="E4" s="18"/>
      <c r="F4" s="18"/>
      <c r="G4" s="18" t="s">
        <v>206</v>
      </c>
      <c r="H4" s="18"/>
      <c r="I4" s="18"/>
      <c r="J4" s="18" t="s">
        <v>211</v>
      </c>
      <c r="K4" s="18"/>
      <c r="L4" s="18"/>
      <c r="M4" s="18" t="s">
        <v>210</v>
      </c>
      <c r="N4" s="18"/>
      <c r="O4" s="18"/>
    </row>
    <row r="5" spans="1:15" ht="14" customHeight="1">
      <c r="A5" s="25">
        <f>Pivot_KPI!A2</f>
        <v>28774.549999999996</v>
      </c>
      <c r="B5" s="26"/>
      <c r="C5" s="27"/>
      <c r="D5" s="31">
        <f>Pivot_KPI!D2</f>
        <v>120</v>
      </c>
      <c r="E5" s="31"/>
      <c r="F5" s="31"/>
      <c r="G5" s="32">
        <f>Pivot_KPI!G4</f>
        <v>98</v>
      </c>
      <c r="H5" s="32"/>
      <c r="I5" s="32"/>
      <c r="J5" s="17">
        <f>IFERROR(Pivot_KPI!J4/Pivot_KPI!D2,0)</f>
        <v>0.11666666666666667</v>
      </c>
      <c r="K5" s="17"/>
      <c r="L5" s="17"/>
      <c r="M5" s="19">
        <f>Pivot_KPI!M2</f>
        <v>4.1530612244897958</v>
      </c>
      <c r="N5" s="19"/>
      <c r="O5" s="19"/>
    </row>
    <row r="6" spans="1:15" ht="14" customHeight="1">
      <c r="A6" s="28"/>
      <c r="B6" s="29"/>
      <c r="C6" s="30"/>
      <c r="D6" s="31"/>
      <c r="E6" s="31"/>
      <c r="F6" s="31"/>
      <c r="G6" s="32"/>
      <c r="H6" s="32"/>
      <c r="I6" s="32"/>
      <c r="J6" s="17"/>
      <c r="K6" s="17"/>
      <c r="L6" s="17"/>
      <c r="M6" s="19"/>
      <c r="N6" s="19"/>
      <c r="O6" s="19"/>
    </row>
  </sheetData>
  <mergeCells count="11">
    <mergeCell ref="J5:L6"/>
    <mergeCell ref="M4:O4"/>
    <mergeCell ref="M5:O6"/>
    <mergeCell ref="A1:O3"/>
    <mergeCell ref="A4:C4"/>
    <mergeCell ref="A5:C6"/>
    <mergeCell ref="D4:F4"/>
    <mergeCell ref="D5:F6"/>
    <mergeCell ref="G4:I4"/>
    <mergeCell ref="G5:I6"/>
    <mergeCell ref="J4:L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BE785-1353-A24F-8D02-201CCAA3D8AC}">
  <dimension ref="A1:H23"/>
  <sheetViews>
    <sheetView showGridLines="0" zoomScale="117" workbookViewId="0">
      <selection activeCell="M19" sqref="M19"/>
    </sheetView>
  </sheetViews>
  <sheetFormatPr baseColWidth="10" defaultRowHeight="14"/>
  <cols>
    <col min="10" max="10" width="0" hidden="1" customWidth="1"/>
  </cols>
  <sheetData>
    <row r="1" spans="1:8" ht="30" customHeight="1">
      <c r="A1" s="34" t="s">
        <v>231</v>
      </c>
      <c r="B1" s="34"/>
      <c r="C1" s="34"/>
      <c r="D1" s="34"/>
      <c r="E1" s="34"/>
      <c r="F1" s="34"/>
      <c r="G1" s="34"/>
      <c r="H1" s="34"/>
    </row>
    <row r="3" spans="1:8" ht="30" customHeight="1">
      <c r="A3" s="34" t="s">
        <v>232</v>
      </c>
      <c r="B3" s="34"/>
      <c r="C3" s="34"/>
      <c r="D3" s="34"/>
      <c r="E3" s="34"/>
      <c r="F3" s="34"/>
      <c r="G3" s="34"/>
      <c r="H3" s="34"/>
    </row>
    <row r="4" spans="1:8" ht="25" customHeight="1">
      <c r="A4" s="35" t="s">
        <v>234</v>
      </c>
      <c r="B4" s="35"/>
      <c r="C4" s="35"/>
      <c r="D4" s="35"/>
      <c r="E4" s="35"/>
      <c r="F4" s="35"/>
      <c r="G4" s="35"/>
      <c r="H4" s="35"/>
    </row>
    <row r="5" spans="1:8" ht="25" customHeight="1">
      <c r="A5" s="35" t="s">
        <v>235</v>
      </c>
      <c r="B5" s="35"/>
      <c r="C5" s="35"/>
      <c r="D5" s="35"/>
      <c r="E5" s="35"/>
      <c r="F5" s="35"/>
      <c r="G5" s="35"/>
      <c r="H5" s="35"/>
    </row>
    <row r="6" spans="1:8" ht="25" customHeight="1">
      <c r="A6" s="35" t="s">
        <v>236</v>
      </c>
      <c r="B6" s="35"/>
      <c r="C6" s="35"/>
      <c r="D6" s="35"/>
      <c r="E6" s="35"/>
      <c r="F6" s="35"/>
      <c r="G6" s="35"/>
      <c r="H6" s="35"/>
    </row>
    <row r="7" spans="1:8" ht="25" customHeight="1">
      <c r="A7" s="35" t="s">
        <v>237</v>
      </c>
      <c r="B7" s="35"/>
      <c r="C7" s="35"/>
      <c r="D7" s="35"/>
      <c r="E7" s="35"/>
      <c r="F7" s="35"/>
      <c r="G7" s="35"/>
      <c r="H7" s="35"/>
    </row>
    <row r="8" spans="1:8" ht="25" customHeight="1">
      <c r="A8" s="35" t="s">
        <v>238</v>
      </c>
      <c r="B8" s="35"/>
      <c r="C8" s="35"/>
      <c r="D8" s="35"/>
      <c r="E8" s="35"/>
      <c r="F8" s="35"/>
      <c r="G8" s="35"/>
      <c r="H8" s="35"/>
    </row>
    <row r="9" spans="1:8" ht="25" customHeight="1">
      <c r="A9" s="35" t="s">
        <v>239</v>
      </c>
      <c r="B9" s="35"/>
      <c r="C9" s="35"/>
      <c r="D9" s="35"/>
      <c r="E9" s="35"/>
      <c r="F9" s="35"/>
      <c r="G9" s="35"/>
      <c r="H9" s="35"/>
    </row>
    <row r="10" spans="1:8" ht="25" customHeight="1">
      <c r="A10" s="35" t="s">
        <v>240</v>
      </c>
      <c r="B10" s="35"/>
      <c r="C10" s="35"/>
      <c r="D10" s="35"/>
      <c r="E10" s="35"/>
      <c r="F10" s="35"/>
      <c r="G10" s="35"/>
      <c r="H10" s="35"/>
    </row>
    <row r="11" spans="1:8" ht="25" customHeight="1">
      <c r="A11" s="35" t="s">
        <v>241</v>
      </c>
      <c r="B11" s="35"/>
      <c r="C11" s="35"/>
      <c r="D11" s="35"/>
      <c r="E11" s="35"/>
      <c r="F11" s="35"/>
      <c r="G11" s="35"/>
      <c r="H11" s="35"/>
    </row>
    <row r="12" spans="1:8" ht="25" customHeight="1">
      <c r="A12" s="35" t="s">
        <v>233</v>
      </c>
      <c r="B12" s="35"/>
      <c r="C12" s="35"/>
      <c r="D12" s="35"/>
      <c r="E12" s="35"/>
      <c r="F12" s="35"/>
      <c r="G12" s="35"/>
      <c r="H12" s="35"/>
    </row>
    <row r="13" spans="1:8" ht="25" customHeight="1">
      <c r="A13" s="35" t="s">
        <v>242</v>
      </c>
      <c r="B13" s="35"/>
      <c r="C13" s="35"/>
      <c r="D13" s="35"/>
      <c r="E13" s="35"/>
      <c r="F13" s="35"/>
      <c r="G13" s="35"/>
      <c r="H13" s="35"/>
    </row>
    <row r="15" spans="1:8" ht="30" customHeight="1">
      <c r="A15" s="36" t="s">
        <v>243</v>
      </c>
      <c r="B15" s="37"/>
      <c r="C15" s="37"/>
      <c r="D15" s="37"/>
      <c r="E15" s="37"/>
      <c r="F15" s="37"/>
      <c r="G15" s="37"/>
      <c r="H15" s="37"/>
    </row>
    <row r="16" spans="1:8" ht="25" customHeight="1">
      <c r="A16" s="33" t="s">
        <v>244</v>
      </c>
      <c r="B16" s="33"/>
      <c r="C16" s="33"/>
      <c r="D16" s="33"/>
      <c r="E16" s="33"/>
      <c r="F16" s="33"/>
      <c r="G16" s="33"/>
      <c r="H16" s="33"/>
    </row>
    <row r="17" spans="1:8" ht="25" customHeight="1">
      <c r="A17" s="33" t="s">
        <v>245</v>
      </c>
      <c r="B17" s="33"/>
      <c r="C17" s="33"/>
      <c r="D17" s="33"/>
      <c r="E17" s="33"/>
      <c r="F17" s="33"/>
      <c r="G17" s="33"/>
      <c r="H17" s="33"/>
    </row>
    <row r="18" spans="1:8" ht="25" customHeight="1">
      <c r="A18" s="33" t="s">
        <v>246</v>
      </c>
      <c r="B18" s="33"/>
      <c r="C18" s="33"/>
      <c r="D18" s="33"/>
      <c r="E18" s="33"/>
      <c r="F18" s="33"/>
      <c r="G18" s="33"/>
      <c r="H18" s="33"/>
    </row>
    <row r="19" spans="1:8" ht="25" customHeight="1">
      <c r="A19" s="33" t="s">
        <v>247</v>
      </c>
      <c r="B19" s="33"/>
      <c r="C19" s="33"/>
      <c r="D19" s="33"/>
      <c r="E19" s="33"/>
      <c r="F19" s="33"/>
      <c r="G19" s="33"/>
      <c r="H19" s="33"/>
    </row>
    <row r="20" spans="1:8" ht="25" customHeight="1">
      <c r="A20" s="33" t="s">
        <v>248</v>
      </c>
      <c r="B20" s="33"/>
      <c r="C20" s="33"/>
      <c r="D20" s="33"/>
      <c r="E20" s="33"/>
      <c r="F20" s="33"/>
      <c r="G20" s="33"/>
      <c r="H20" s="33"/>
    </row>
    <row r="21" spans="1:8" ht="25" customHeight="1">
      <c r="A21" s="33" t="s">
        <v>249</v>
      </c>
      <c r="B21" s="33"/>
      <c r="C21" s="33"/>
      <c r="D21" s="33"/>
      <c r="E21" s="33"/>
      <c r="F21" s="33"/>
      <c r="G21" s="33"/>
      <c r="H21" s="33"/>
    </row>
    <row r="23" spans="1:8">
      <c r="A23" s="12" t="s">
        <v>250</v>
      </c>
    </row>
  </sheetData>
  <mergeCells count="19">
    <mergeCell ref="A17:H17"/>
    <mergeCell ref="A18:H18"/>
    <mergeCell ref="A19:H19"/>
    <mergeCell ref="A20:H20"/>
    <mergeCell ref="A21:H21"/>
    <mergeCell ref="A16:H16"/>
    <mergeCell ref="A1:H1"/>
    <mergeCell ref="A3:H3"/>
    <mergeCell ref="A4:H4"/>
    <mergeCell ref="A5:H5"/>
    <mergeCell ref="A6:H6"/>
    <mergeCell ref="A7:H7"/>
    <mergeCell ref="A8:H8"/>
    <mergeCell ref="A9:H9"/>
    <mergeCell ref="A10:H10"/>
    <mergeCell ref="A11:H11"/>
    <mergeCell ref="A12:H12"/>
    <mergeCell ref="A13:H13"/>
    <mergeCell ref="A15:H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3C1B-2311-B44F-819A-A3C2B592138B}">
  <dimension ref="A1:K29"/>
  <sheetViews>
    <sheetView zoomScale="91" zoomScaleNormal="125" workbookViewId="0">
      <selection activeCell="D42" sqref="D42"/>
    </sheetView>
  </sheetViews>
  <sheetFormatPr baseColWidth="10" defaultRowHeight="14"/>
  <cols>
    <col min="1" max="1" width="20.1640625" customWidth="1"/>
    <col min="2" max="2" width="52.83203125" customWidth="1"/>
    <col min="3" max="3" width="16.1640625" customWidth="1"/>
    <col min="4" max="4" width="69.5" customWidth="1"/>
    <col min="8" max="8" width="15.83203125" customWidth="1"/>
  </cols>
  <sheetData>
    <row r="1" spans="1:11">
      <c r="A1" t="s">
        <v>251</v>
      </c>
      <c r="B1" t="s">
        <v>252</v>
      </c>
      <c r="C1" t="s">
        <v>253</v>
      </c>
      <c r="D1" t="s">
        <v>169</v>
      </c>
      <c r="E1" t="s">
        <v>284</v>
      </c>
      <c r="H1" t="s">
        <v>303</v>
      </c>
    </row>
    <row r="2" spans="1:11">
      <c r="A2" t="s">
        <v>254</v>
      </c>
      <c r="B2" t="s">
        <v>255</v>
      </c>
      <c r="C2" s="13">
        <f>SUMIF(Cleaned_Motel_Data[Room_Type],"Deluxe",Cleaned_Motel_Data[Estimated_Revenue_GBP])</f>
        <v>7366.9</v>
      </c>
      <c r="D2" t="s">
        <v>258</v>
      </c>
      <c r="E2">
        <v>7000</v>
      </c>
      <c r="F2" s="14" t="s">
        <v>64</v>
      </c>
      <c r="H2" t="s">
        <v>304</v>
      </c>
      <c r="J2" t="s">
        <v>51</v>
      </c>
    </row>
    <row r="3" spans="1:11">
      <c r="A3" t="s">
        <v>257</v>
      </c>
      <c r="B3" t="s">
        <v>256</v>
      </c>
      <c r="C3" s="13">
        <f>SUMIFS(Cleaned_Motel_Data[Estimated_Revenue_GBP],Cleaned_Motel_Data[Booking_Status],"Completed",Cleaned_Motel_Data[Booking_Source],"Booking.com")</f>
        <v>7358.8</v>
      </c>
      <c r="D3" t="s">
        <v>259</v>
      </c>
      <c r="H3" t="s">
        <v>307</v>
      </c>
    </row>
    <row r="4" spans="1:11">
      <c r="A4" t="s">
        <v>260</v>
      </c>
      <c r="B4" t="s">
        <v>262</v>
      </c>
      <c r="C4">
        <f>COUNTIFS(Cleaned_Motel_Data[Booking_Status],"Completed",Cleaned_Motel_Data[Room_Type],"Deluxe")</f>
        <v>28</v>
      </c>
      <c r="D4" t="s">
        <v>261</v>
      </c>
      <c r="H4" t="s">
        <v>310</v>
      </c>
      <c r="J4" t="s">
        <v>343</v>
      </c>
      <c r="K4">
        <v>100</v>
      </c>
    </row>
    <row r="5" spans="1:11">
      <c r="A5" t="s">
        <v>263</v>
      </c>
      <c r="B5" t="s">
        <v>264</v>
      </c>
      <c r="C5" s="10">
        <f>AVERAGEIF(Cleaned_Motel_Data[Room_Type],"Deluxe",Cleaned_Motel_Data[Guest_Rating])</f>
        <v>4.333333333333333</v>
      </c>
      <c r="D5" t="s">
        <v>265</v>
      </c>
      <c r="H5" t="s">
        <v>73</v>
      </c>
      <c r="J5" t="s">
        <v>200</v>
      </c>
      <c r="K5">
        <v>4.9999999999999991</v>
      </c>
    </row>
    <row r="6" spans="1:11">
      <c r="A6" t="s">
        <v>266</v>
      </c>
      <c r="B6" t="s">
        <v>267</v>
      </c>
      <c r="C6" s="13">
        <f>AVERAGEIFS(Cleaned_Motel_Data[Nightly_Rate_GBP],Cleaned_Motel_Data[Booking_Status],"Completed",Cleaned_Motel_Data[Room_Type],"Deluxe")</f>
        <v>109.0275</v>
      </c>
      <c r="D6" t="s">
        <v>268</v>
      </c>
      <c r="H6" t="s">
        <v>50</v>
      </c>
      <c r="J6" t="s">
        <v>344</v>
      </c>
      <c r="K6">
        <f>K4*K5</f>
        <v>499.99999999999989</v>
      </c>
    </row>
    <row r="7" spans="1:11">
      <c r="A7" t="s">
        <v>269</v>
      </c>
      <c r="B7" t="s">
        <v>270</v>
      </c>
      <c r="C7" s="13">
        <f>MIN(Cleaned_Motel_Data[Nightly_Rate_GBP])</f>
        <v>71.72</v>
      </c>
      <c r="D7" t="s">
        <v>271</v>
      </c>
      <c r="H7" s="16">
        <f>DATE(2025,8,5)</f>
        <v>45874</v>
      </c>
    </row>
    <row r="8" spans="1:11">
      <c r="A8" t="s">
        <v>272</v>
      </c>
      <c r="B8" t="s">
        <v>273</v>
      </c>
      <c r="C8" s="13">
        <f>MAX(Cleaned_Motel_Data[Nightly_Rate_GBP])</f>
        <v>144.44999999999999</v>
      </c>
      <c r="D8" t="s">
        <v>274</v>
      </c>
      <c r="H8" s="16">
        <f>DATE(2025,8,10)</f>
        <v>45879</v>
      </c>
    </row>
    <row r="9" spans="1:11">
      <c r="A9" t="s">
        <v>275</v>
      </c>
      <c r="B9" t="s">
        <v>276</v>
      </c>
      <c r="C9" s="13">
        <f>ROUND(AVERAGE(Cleaned_Motel_Data[Nightly_Rate_GBP]),2)</f>
        <v>103.81</v>
      </c>
      <c r="D9" t="s">
        <v>277</v>
      </c>
    </row>
    <row r="10" spans="1:11">
      <c r="A10" t="s">
        <v>278</v>
      </c>
      <c r="B10" t="s">
        <v>279</v>
      </c>
      <c r="C10" t="str">
        <f>IF(COUNTIF(Cleaned_Motel_Data[Booking_Status],"Cancelled")&gt;10,"High Cancellations","Low Cancellations")</f>
        <v>High Cancellations</v>
      </c>
      <c r="D10" t="s">
        <v>283</v>
      </c>
    </row>
    <row r="11" spans="1:11">
      <c r="A11" t="s">
        <v>280</v>
      </c>
      <c r="B11" t="s">
        <v>281</v>
      </c>
      <c r="C11" t="str" cm="1">
        <f t="array" ref="C11">_xlfn.IFS(C2&gt;=7500,"Excellent",C2&gt;=6500,"Good",TRUE,"Needs Attention")</f>
        <v>Good</v>
      </c>
      <c r="D11" t="s">
        <v>282</v>
      </c>
    </row>
    <row r="12" spans="1:11">
      <c r="A12" t="s">
        <v>287</v>
      </c>
      <c r="B12" t="s">
        <v>285</v>
      </c>
      <c r="C12" t="str">
        <f>IF(C2&gt;=$E$2,"Target Met","Below Target")</f>
        <v>Target Met</v>
      </c>
      <c r="D12" t="s">
        <v>286</v>
      </c>
    </row>
    <row r="13" spans="1:11">
      <c r="A13" t="s">
        <v>288</v>
      </c>
      <c r="B13" t="s">
        <v>289</v>
      </c>
      <c r="C13" t="str">
        <f>_xlfn.XLOOKUP(F2,Cleaned_Motel_Data[Booking_ID],Cleaned_Motel_Data[Room_Type])</f>
        <v>Deluxe</v>
      </c>
      <c r="D13" t="s">
        <v>290</v>
      </c>
    </row>
    <row r="14" spans="1:11">
      <c r="A14" t="s">
        <v>291</v>
      </c>
      <c r="B14" t="s">
        <v>292</v>
      </c>
      <c r="C14" t="str">
        <f>IFERROR(_xlfn.XLOOKUP(F2,Cleaned_Motel_Data[Booking_ID],Cleaned_Motel_Data[Room_Type]),"Booking ID Not Found")</f>
        <v>Deluxe</v>
      </c>
      <c r="D14" t="s">
        <v>293</v>
      </c>
    </row>
    <row r="15" spans="1:11" ht="16">
      <c r="A15" s="15" t="s">
        <v>294</v>
      </c>
      <c r="B15" t="s">
        <v>305</v>
      </c>
      <c r="C15" t="str">
        <f>TRIM(H2)</f>
        <v>deluxe</v>
      </c>
      <c r="D15" t="s">
        <v>306</v>
      </c>
    </row>
    <row r="16" spans="1:11" ht="16">
      <c r="A16" s="15" t="s">
        <v>295</v>
      </c>
      <c r="B16" t="s">
        <v>308</v>
      </c>
      <c r="C16" t="str">
        <f>PROPER(H3)</f>
        <v>Deluxe Room</v>
      </c>
      <c r="D16" t="s">
        <v>309</v>
      </c>
    </row>
    <row r="17" spans="1:4" ht="16">
      <c r="A17" s="15" t="s">
        <v>296</v>
      </c>
      <c r="B17" t="s">
        <v>312</v>
      </c>
      <c r="C17" t="str">
        <f>UPPER(H4)</f>
        <v>BOOKING.COM</v>
      </c>
      <c r="D17" t="s">
        <v>311</v>
      </c>
    </row>
    <row r="18" spans="1:4" ht="16">
      <c r="A18" s="15" t="s">
        <v>297</v>
      </c>
      <c r="B18" t="s">
        <v>313</v>
      </c>
      <c r="C18" t="str">
        <f>LOWER(H5)</f>
        <v>booking.com</v>
      </c>
      <c r="D18" t="s">
        <v>314</v>
      </c>
    </row>
    <row r="19" spans="1:4" ht="16">
      <c r="A19" s="15" t="s">
        <v>298</v>
      </c>
      <c r="B19" t="s">
        <v>315</v>
      </c>
      <c r="C19" t="str">
        <f>LEFT(F2,2)</f>
        <v>BK</v>
      </c>
      <c r="D19" t="s">
        <v>317</v>
      </c>
    </row>
    <row r="20" spans="1:4" ht="16">
      <c r="A20" s="15" t="s">
        <v>299</v>
      </c>
      <c r="B20" t="s">
        <v>316</v>
      </c>
      <c r="C20" t="str">
        <f>RIGHT(F2,4)</f>
        <v>1026</v>
      </c>
      <c r="D20" t="s">
        <v>318</v>
      </c>
    </row>
    <row r="21" spans="1:4" ht="16">
      <c r="A21" s="15" t="s">
        <v>300</v>
      </c>
      <c r="B21" t="s">
        <v>319</v>
      </c>
      <c r="C21" t="str">
        <f>MID(F2,3,4)</f>
        <v>1026</v>
      </c>
      <c r="D21" t="s">
        <v>320</v>
      </c>
    </row>
    <row r="22" spans="1:4" ht="16">
      <c r="A22" s="15" t="s">
        <v>301</v>
      </c>
      <c r="B22" t="s">
        <v>321</v>
      </c>
      <c r="C22">
        <f>LEN(F2)</f>
        <v>6</v>
      </c>
      <c r="D22" t="s">
        <v>322</v>
      </c>
    </row>
    <row r="23" spans="1:4" ht="16">
      <c r="A23" s="15" t="s">
        <v>302</v>
      </c>
      <c r="B23" t="s">
        <v>323</v>
      </c>
      <c r="C23" t="str">
        <f>_xlfn.CONCAT(F2," - ",C13)</f>
        <v>BK1026 - Deluxe</v>
      </c>
      <c r="D23" t="s">
        <v>324</v>
      </c>
    </row>
    <row r="24" spans="1:4" ht="16">
      <c r="A24" s="15" t="s">
        <v>325</v>
      </c>
      <c r="B24" t="s">
        <v>331</v>
      </c>
      <c r="C24">
        <f>YEAR(H7)</f>
        <v>2025</v>
      </c>
      <c r="D24" t="s">
        <v>332</v>
      </c>
    </row>
    <row r="25" spans="1:4" ht="16">
      <c r="A25" s="15" t="s">
        <v>326</v>
      </c>
      <c r="B25" t="s">
        <v>333</v>
      </c>
      <c r="C25">
        <f>MONTH(H7)</f>
        <v>8</v>
      </c>
      <c r="D25" t="s">
        <v>334</v>
      </c>
    </row>
    <row r="26" spans="1:4" ht="16">
      <c r="A26" s="15" t="s">
        <v>327</v>
      </c>
      <c r="B26" t="s">
        <v>337</v>
      </c>
      <c r="C26">
        <f>DAY(H7)</f>
        <v>5</v>
      </c>
      <c r="D26" t="s">
        <v>338</v>
      </c>
    </row>
    <row r="27" spans="1:4" ht="16">
      <c r="A27" s="15" t="s">
        <v>328</v>
      </c>
      <c r="B27" t="s">
        <v>335</v>
      </c>
      <c r="C27" s="16">
        <f ca="1">TODAY()</f>
        <v>46248</v>
      </c>
      <c r="D27" t="s">
        <v>336</v>
      </c>
    </row>
    <row r="28" spans="1:4" ht="16">
      <c r="A28" s="15" t="s">
        <v>329</v>
      </c>
      <c r="B28" t="s">
        <v>339</v>
      </c>
      <c r="C28">
        <f>DATEDIF(H7,H8,"d")</f>
        <v>5</v>
      </c>
      <c r="D28" t="s">
        <v>342</v>
      </c>
    </row>
    <row r="29" spans="1:4" ht="16">
      <c r="A29" s="15" t="s">
        <v>330</v>
      </c>
      <c r="B29" t="s">
        <v>340</v>
      </c>
      <c r="C29">
        <f>EOMONTH(H7,0)</f>
        <v>45900</v>
      </c>
      <c r="D29" t="s">
        <v>341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77AF-F63D-BC47-B497-4EB30BAACD0A}">
  <dimension ref="A1:M4"/>
  <sheetViews>
    <sheetView topLeftCell="Q39" zoomScale="120" zoomScaleNormal="120" workbookViewId="0"/>
  </sheetViews>
  <sheetFormatPr baseColWidth="10" defaultRowHeight="14"/>
  <cols>
    <col min="1" max="1" width="32.5" bestFit="1" customWidth="1"/>
    <col min="4" max="4" width="20" bestFit="1" customWidth="1"/>
    <col min="7" max="7" width="20" bestFit="1" customWidth="1"/>
    <col min="8" max="8" width="12.33203125" bestFit="1" customWidth="1"/>
    <col min="10" max="10" width="20" bestFit="1" customWidth="1"/>
    <col min="11" max="11" width="11.33203125" bestFit="1" customWidth="1"/>
    <col min="13" max="13" width="24.5" bestFit="1" customWidth="1"/>
  </cols>
  <sheetData>
    <row r="1" spans="1:13">
      <c r="A1" t="s">
        <v>215</v>
      </c>
      <c r="D1" t="s">
        <v>214</v>
      </c>
      <c r="G1" s="7" t="s">
        <v>11</v>
      </c>
      <c r="H1" t="s">
        <v>18</v>
      </c>
      <c r="J1" s="7" t="s">
        <v>11</v>
      </c>
      <c r="K1" t="s">
        <v>34</v>
      </c>
      <c r="M1" t="s">
        <v>228</v>
      </c>
    </row>
    <row r="2" spans="1:13">
      <c r="A2">
        <v>28774.549999999996</v>
      </c>
      <c r="D2">
        <v>120</v>
      </c>
      <c r="M2" s="10">
        <v>4.1530612244897958</v>
      </c>
    </row>
    <row r="3" spans="1:13">
      <c r="G3" t="s">
        <v>214</v>
      </c>
      <c r="J3" t="s">
        <v>214</v>
      </c>
    </row>
    <row r="4" spans="1:13">
      <c r="G4">
        <v>98</v>
      </c>
      <c r="J4">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7505F-7CB8-C241-A6DA-2F98A5D1E3D8}">
  <dimension ref="A3:B9"/>
  <sheetViews>
    <sheetView zoomScale="165" zoomScaleNormal="165" workbookViewId="0">
      <selection activeCell="B9" sqref="B9"/>
    </sheetView>
  </sheetViews>
  <sheetFormatPr baseColWidth="10" defaultRowHeight="14"/>
  <cols>
    <col min="1" max="1" width="14" bestFit="1" customWidth="1"/>
    <col min="2" max="3" width="31" bestFit="1" customWidth="1"/>
  </cols>
  <sheetData>
    <row r="3" spans="1:2">
      <c r="A3" s="7" t="s">
        <v>212</v>
      </c>
      <c r="B3" t="s">
        <v>215</v>
      </c>
    </row>
    <row r="4" spans="1:2">
      <c r="A4" s="8" t="s">
        <v>15</v>
      </c>
      <c r="B4" s="9">
        <v>7366.9</v>
      </c>
    </row>
    <row r="5" spans="1:2">
      <c r="A5" s="8" t="s">
        <v>38</v>
      </c>
      <c r="B5" s="9">
        <v>6627.7199999999993</v>
      </c>
    </row>
    <row r="6" spans="1:2">
      <c r="A6" s="8" t="s">
        <v>23</v>
      </c>
      <c r="B6" s="9">
        <v>6609.93</v>
      </c>
    </row>
    <row r="7" spans="1:2">
      <c r="A7" s="8" t="s">
        <v>43</v>
      </c>
      <c r="B7" s="9">
        <v>7009.7</v>
      </c>
    </row>
    <row r="8" spans="1:2">
      <c r="A8" s="8" t="s">
        <v>202</v>
      </c>
      <c r="B8" s="9">
        <v>1160.3000000000002</v>
      </c>
    </row>
    <row r="9" spans="1:2">
      <c r="A9" s="8" t="s">
        <v>213</v>
      </c>
      <c r="B9" s="9">
        <v>28774.55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6BFD-EC61-1045-97C0-98F0A3432165}">
  <dimension ref="A3:B9"/>
  <sheetViews>
    <sheetView workbookViewId="0">
      <selection activeCell="J7" sqref="J7"/>
    </sheetView>
  </sheetViews>
  <sheetFormatPr baseColWidth="10" defaultRowHeight="14"/>
  <cols>
    <col min="1" max="1" width="14" bestFit="1" customWidth="1"/>
    <col min="2" max="2" width="20" bestFit="1" customWidth="1"/>
    <col min="3" max="3" width="31" bestFit="1" customWidth="1"/>
  </cols>
  <sheetData>
    <row r="3" spans="1:2">
      <c r="A3" s="7" t="s">
        <v>212</v>
      </c>
      <c r="B3" t="s">
        <v>214</v>
      </c>
    </row>
    <row r="4" spans="1:2">
      <c r="A4" s="8" t="s">
        <v>27</v>
      </c>
      <c r="B4">
        <v>30</v>
      </c>
    </row>
    <row r="5" spans="1:2">
      <c r="A5" s="8" t="s">
        <v>24</v>
      </c>
      <c r="B5">
        <v>28</v>
      </c>
    </row>
    <row r="6" spans="1:2">
      <c r="A6" s="8" t="s">
        <v>16</v>
      </c>
      <c r="B6">
        <v>30</v>
      </c>
    </row>
    <row r="7" spans="1:2">
      <c r="A7" s="8" t="s">
        <v>202</v>
      </c>
      <c r="B7">
        <v>3</v>
      </c>
    </row>
    <row r="8" spans="1:2">
      <c r="A8" s="8" t="s">
        <v>39</v>
      </c>
      <c r="B8">
        <v>29</v>
      </c>
    </row>
    <row r="9" spans="1:2">
      <c r="A9" s="8" t="s">
        <v>213</v>
      </c>
      <c r="B9">
        <v>120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7F7C1-A4D7-014F-A0E7-DAC3D717A50A}">
  <dimension ref="A3:B7"/>
  <sheetViews>
    <sheetView zoomScale="182" workbookViewId="0">
      <selection activeCell="C5" sqref="C5"/>
    </sheetView>
  </sheetViews>
  <sheetFormatPr baseColWidth="10" defaultRowHeight="14"/>
  <cols>
    <col min="1" max="1" width="14" bestFit="1" customWidth="1"/>
    <col min="2" max="2" width="20" bestFit="1" customWidth="1"/>
  </cols>
  <sheetData>
    <row r="3" spans="1:2">
      <c r="A3" s="7" t="s">
        <v>212</v>
      </c>
      <c r="B3" t="s">
        <v>214</v>
      </c>
    </row>
    <row r="4" spans="1:2">
      <c r="A4" s="8" t="s">
        <v>34</v>
      </c>
      <c r="B4">
        <v>14</v>
      </c>
    </row>
    <row r="5" spans="1:2">
      <c r="A5" s="8" t="s">
        <v>18</v>
      </c>
      <c r="B5">
        <v>98</v>
      </c>
    </row>
    <row r="6" spans="1:2">
      <c r="A6" s="8" t="s">
        <v>51</v>
      </c>
      <c r="B6">
        <v>8</v>
      </c>
    </row>
    <row r="7" spans="1:2">
      <c r="A7" s="8" t="s">
        <v>213</v>
      </c>
      <c r="B7">
        <v>120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5297-D832-414B-92FD-5F5B28D1E561}">
  <dimension ref="A3:B16"/>
  <sheetViews>
    <sheetView workbookViewId="0">
      <selection activeCell="B12" sqref="B12"/>
    </sheetView>
  </sheetViews>
  <sheetFormatPr baseColWidth="10" defaultRowHeight="14"/>
  <cols>
    <col min="1" max="1" width="14" bestFit="1" customWidth="1"/>
    <col min="2" max="2" width="31" bestFit="1" customWidth="1"/>
  </cols>
  <sheetData>
    <row r="3" spans="1:2">
      <c r="A3" s="7" t="s">
        <v>212</v>
      </c>
      <c r="B3" t="s">
        <v>215</v>
      </c>
    </row>
    <row r="4" spans="1:2">
      <c r="A4" s="8" t="s">
        <v>216</v>
      </c>
      <c r="B4">
        <v>2086.31</v>
      </c>
    </row>
    <row r="5" spans="1:2">
      <c r="A5" s="8" t="s">
        <v>217</v>
      </c>
      <c r="B5">
        <v>2022.94</v>
      </c>
    </row>
    <row r="6" spans="1:2">
      <c r="A6" s="8" t="s">
        <v>218</v>
      </c>
      <c r="B6">
        <v>1855.21</v>
      </c>
    </row>
    <row r="7" spans="1:2">
      <c r="A7" s="8" t="s">
        <v>219</v>
      </c>
      <c r="B7">
        <v>1166.69</v>
      </c>
    </row>
    <row r="8" spans="1:2">
      <c r="A8" s="8" t="s">
        <v>220</v>
      </c>
      <c r="B8">
        <v>2323.92</v>
      </c>
    </row>
    <row r="9" spans="1:2">
      <c r="A9" s="8" t="s">
        <v>221</v>
      </c>
      <c r="B9">
        <v>1336.26</v>
      </c>
    </row>
    <row r="10" spans="1:2">
      <c r="A10" s="8" t="s">
        <v>222</v>
      </c>
      <c r="B10">
        <v>1502.27</v>
      </c>
    </row>
    <row r="11" spans="1:2">
      <c r="A11" s="8" t="s">
        <v>223</v>
      </c>
      <c r="B11">
        <v>2993.44</v>
      </c>
    </row>
    <row r="12" spans="1:2">
      <c r="A12" s="8" t="s">
        <v>224</v>
      </c>
      <c r="B12">
        <v>2455.7600000000002</v>
      </c>
    </row>
    <row r="13" spans="1:2">
      <c r="A13" s="8" t="s">
        <v>225</v>
      </c>
      <c r="B13">
        <v>4162.18</v>
      </c>
    </row>
    <row r="14" spans="1:2">
      <c r="A14" s="8" t="s">
        <v>226</v>
      </c>
      <c r="B14">
        <v>3293.11</v>
      </c>
    </row>
    <row r="15" spans="1:2">
      <c r="A15" s="8" t="s">
        <v>227</v>
      </c>
      <c r="B15">
        <v>3576.46</v>
      </c>
    </row>
    <row r="16" spans="1:2">
      <c r="A16" s="8" t="s">
        <v>213</v>
      </c>
      <c r="B16">
        <v>28774.550000000003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6225-769B-7B42-B06D-6E73D59A1F63}">
  <dimension ref="A3:B9"/>
  <sheetViews>
    <sheetView zoomScale="157" zoomScaleNormal="400" workbookViewId="0">
      <selection activeCell="F6" sqref="F6"/>
    </sheetView>
  </sheetViews>
  <sheetFormatPr baseColWidth="10" defaultRowHeight="14"/>
  <cols>
    <col min="1" max="1" width="14" bestFit="1" customWidth="1"/>
    <col min="2" max="2" width="23.6640625" bestFit="1" customWidth="1"/>
  </cols>
  <sheetData>
    <row r="3" spans="1:2">
      <c r="A3" s="7" t="s">
        <v>212</v>
      </c>
      <c r="B3" t="s">
        <v>228</v>
      </c>
    </row>
    <row r="4" spans="1:2">
      <c r="A4" s="8" t="s">
        <v>15</v>
      </c>
      <c r="B4" s="10">
        <v>4.333333333333333</v>
      </c>
    </row>
    <row r="5" spans="1:2">
      <c r="A5" s="8" t="s">
        <v>38</v>
      </c>
      <c r="B5" s="10">
        <v>4.0909090909090908</v>
      </c>
    </row>
    <row r="6" spans="1:2">
      <c r="A6" s="8" t="s">
        <v>23</v>
      </c>
      <c r="B6" s="10">
        <v>4.0999999999999996</v>
      </c>
    </row>
    <row r="7" spans="1:2">
      <c r="A7" s="8" t="s">
        <v>43</v>
      </c>
      <c r="B7" s="10">
        <v>4</v>
      </c>
    </row>
    <row r="8" spans="1:2">
      <c r="A8" s="8" t="s">
        <v>202</v>
      </c>
      <c r="B8" s="10">
        <v>4.666666666666667</v>
      </c>
    </row>
    <row r="9" spans="1:2">
      <c r="A9" s="8" t="s">
        <v>213</v>
      </c>
      <c r="B9" s="10">
        <v>4.1530612244897958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A7644-D1E0-F540-AE61-8D5F58FB31F6}">
  <dimension ref="A1:P31"/>
  <sheetViews>
    <sheetView topLeftCell="A5" workbookViewId="0">
      <selection activeCell="D14" sqref="D14"/>
    </sheetView>
  </sheetViews>
  <sheetFormatPr baseColWidth="10" defaultRowHeight="14"/>
  <cols>
    <col min="1" max="1" width="14" bestFit="1" customWidth="1"/>
    <col min="2" max="2" width="16.83203125" bestFit="1" customWidth="1"/>
    <col min="3" max="3" width="17" bestFit="1" customWidth="1"/>
    <col min="4" max="4" width="14.33203125" bestFit="1" customWidth="1"/>
    <col min="5" max="5" width="18.33203125" bestFit="1" customWidth="1"/>
    <col min="6" max="6" width="17.1640625" bestFit="1" customWidth="1"/>
    <col min="7" max="7" width="11" bestFit="1" customWidth="1"/>
    <col min="8" max="8" width="20.1640625" bestFit="1" customWidth="1"/>
    <col min="9" max="9" width="18.83203125" bestFit="1" customWidth="1"/>
    <col min="10" max="10" width="17.83203125" bestFit="1" customWidth="1"/>
    <col min="11" max="11" width="18" bestFit="1" customWidth="1"/>
    <col min="12" max="12" width="15.83203125" bestFit="1" customWidth="1"/>
    <col min="13" max="13" width="16.1640625" bestFit="1" customWidth="1"/>
    <col min="14" max="14" width="18.5" bestFit="1" customWidth="1"/>
    <col min="15" max="15" width="11" bestFit="1" customWidth="1"/>
    <col min="16" max="16" width="26.5" bestFit="1" customWidth="1"/>
  </cols>
  <sheetData>
    <row r="1" spans="1:16" ht="15">
      <c r="A1" s="11" t="s">
        <v>230</v>
      </c>
    </row>
    <row r="3" spans="1:16">
      <c r="A3" t="s">
        <v>0</v>
      </c>
      <c r="B3" t="s">
        <v>2</v>
      </c>
      <c r="C3" t="s">
        <v>4</v>
      </c>
      <c r="D3" t="s">
        <v>5</v>
      </c>
      <c r="E3" t="s">
        <v>6</v>
      </c>
      <c r="F3" t="s">
        <v>7</v>
      </c>
      <c r="G3" t="s">
        <v>8</v>
      </c>
      <c r="H3" t="s">
        <v>9</v>
      </c>
      <c r="I3" t="s">
        <v>10</v>
      </c>
      <c r="J3" t="s">
        <v>11</v>
      </c>
      <c r="K3" t="s">
        <v>12</v>
      </c>
      <c r="L3" t="s">
        <v>13</v>
      </c>
      <c r="M3" t="s">
        <v>1</v>
      </c>
      <c r="N3" t="s">
        <v>3</v>
      </c>
      <c r="O3" t="s">
        <v>200</v>
      </c>
      <c r="P3" t="s">
        <v>201</v>
      </c>
    </row>
    <row r="4" spans="1:16">
      <c r="A4" t="s">
        <v>20</v>
      </c>
      <c r="B4" s="6">
        <v>45879</v>
      </c>
      <c r="C4">
        <v>106</v>
      </c>
      <c r="D4" t="s">
        <v>15</v>
      </c>
      <c r="E4" t="s">
        <v>16</v>
      </c>
      <c r="F4" t="s">
        <v>21</v>
      </c>
      <c r="G4">
        <v>3</v>
      </c>
      <c r="H4">
        <v>95.8</v>
      </c>
      <c r="I4">
        <v>8.5</v>
      </c>
      <c r="J4" t="s">
        <v>18</v>
      </c>
      <c r="K4" t="s">
        <v>19</v>
      </c>
      <c r="L4">
        <v>5</v>
      </c>
      <c r="M4" s="6">
        <v>45877</v>
      </c>
      <c r="N4" s="6">
        <v>45880</v>
      </c>
      <c r="O4">
        <v>1</v>
      </c>
      <c r="P4">
        <v>104.3</v>
      </c>
    </row>
    <row r="5" spans="1:16">
      <c r="A5" t="s">
        <v>160</v>
      </c>
      <c r="B5" s="6">
        <v>45884</v>
      </c>
      <c r="C5">
        <v>204</v>
      </c>
      <c r="D5" t="s">
        <v>15</v>
      </c>
      <c r="E5" t="s">
        <v>24</v>
      </c>
      <c r="F5" t="s">
        <v>21</v>
      </c>
      <c r="G5">
        <v>3</v>
      </c>
      <c r="H5">
        <v>111.85</v>
      </c>
      <c r="I5">
        <v>8.5</v>
      </c>
      <c r="J5" t="s">
        <v>18</v>
      </c>
      <c r="K5" t="s">
        <v>19</v>
      </c>
      <c r="L5">
        <v>5</v>
      </c>
      <c r="M5" s="6">
        <v>45836</v>
      </c>
      <c r="N5" s="6">
        <v>45885</v>
      </c>
      <c r="O5">
        <v>1</v>
      </c>
      <c r="P5">
        <v>120.35</v>
      </c>
    </row>
    <row r="6" spans="1:16">
      <c r="A6" t="s">
        <v>137</v>
      </c>
      <c r="B6" s="6">
        <v>45846</v>
      </c>
      <c r="C6">
        <v>110</v>
      </c>
      <c r="D6" t="s">
        <v>15</v>
      </c>
      <c r="E6" t="s">
        <v>39</v>
      </c>
      <c r="F6" t="s">
        <v>21</v>
      </c>
      <c r="G6">
        <v>4</v>
      </c>
      <c r="H6">
        <v>118.78</v>
      </c>
      <c r="I6">
        <v>8.5</v>
      </c>
      <c r="J6" t="s">
        <v>18</v>
      </c>
      <c r="K6" t="s">
        <v>19</v>
      </c>
      <c r="L6">
        <v>4</v>
      </c>
      <c r="M6" s="6">
        <v>45818</v>
      </c>
      <c r="N6" s="6">
        <v>45849</v>
      </c>
      <c r="O6">
        <v>3</v>
      </c>
      <c r="P6">
        <v>364.84000000000003</v>
      </c>
    </row>
    <row r="7" spans="1:16">
      <c r="A7" t="s">
        <v>110</v>
      </c>
      <c r="B7" s="6">
        <v>45824</v>
      </c>
      <c r="C7">
        <v>215</v>
      </c>
      <c r="D7" t="s">
        <v>15</v>
      </c>
      <c r="E7" t="s">
        <v>16</v>
      </c>
      <c r="F7" t="s">
        <v>17</v>
      </c>
      <c r="G7">
        <v>4</v>
      </c>
      <c r="H7">
        <v>109.53</v>
      </c>
      <c r="I7">
        <v>8.5</v>
      </c>
      <c r="J7" t="s">
        <v>18</v>
      </c>
      <c r="K7" t="s">
        <v>44</v>
      </c>
      <c r="L7">
        <v>5</v>
      </c>
      <c r="M7" s="6">
        <v>45776</v>
      </c>
      <c r="N7" s="6">
        <v>45825</v>
      </c>
      <c r="O7">
        <v>1</v>
      </c>
      <c r="P7">
        <v>118.03</v>
      </c>
    </row>
    <row r="8" spans="1:16">
      <c r="A8" t="s">
        <v>101</v>
      </c>
      <c r="B8" s="6">
        <v>45866</v>
      </c>
      <c r="C8">
        <v>218</v>
      </c>
      <c r="D8" t="s">
        <v>15</v>
      </c>
      <c r="E8" t="s">
        <v>24</v>
      </c>
      <c r="F8" t="s">
        <v>29</v>
      </c>
      <c r="G8">
        <v>2</v>
      </c>
      <c r="H8">
        <v>120.51</v>
      </c>
      <c r="I8">
        <v>8.5</v>
      </c>
      <c r="J8" t="s">
        <v>18</v>
      </c>
      <c r="K8" t="s">
        <v>19</v>
      </c>
      <c r="L8">
        <v>5</v>
      </c>
      <c r="M8" s="6">
        <v>45861</v>
      </c>
      <c r="N8" s="6">
        <v>45868</v>
      </c>
      <c r="O8">
        <v>2</v>
      </c>
      <c r="P8">
        <v>249.52</v>
      </c>
    </row>
    <row r="9" spans="1:16">
      <c r="A9" t="s">
        <v>96</v>
      </c>
      <c r="B9" s="6">
        <v>45870</v>
      </c>
      <c r="C9">
        <v>210</v>
      </c>
      <c r="D9" t="s">
        <v>15</v>
      </c>
      <c r="E9" t="s">
        <v>39</v>
      </c>
      <c r="F9" t="s">
        <v>33</v>
      </c>
      <c r="G9">
        <v>3</v>
      </c>
      <c r="H9">
        <v>111.93</v>
      </c>
      <c r="I9">
        <v>8.5</v>
      </c>
      <c r="J9" t="s">
        <v>18</v>
      </c>
      <c r="K9" t="s">
        <v>19</v>
      </c>
      <c r="L9">
        <v>4</v>
      </c>
      <c r="M9" s="6">
        <v>45816</v>
      </c>
      <c r="N9" s="6">
        <v>45872</v>
      </c>
      <c r="O9">
        <v>2</v>
      </c>
      <c r="P9">
        <v>232.36</v>
      </c>
    </row>
    <row r="10" spans="1:16">
      <c r="A10" t="s">
        <v>78</v>
      </c>
      <c r="B10" s="6">
        <v>45842</v>
      </c>
      <c r="C10">
        <v>115</v>
      </c>
      <c r="D10" t="s">
        <v>15</v>
      </c>
      <c r="E10" t="s">
        <v>24</v>
      </c>
      <c r="F10" t="s">
        <v>29</v>
      </c>
      <c r="G10">
        <v>2</v>
      </c>
      <c r="H10">
        <v>106.95</v>
      </c>
      <c r="I10">
        <v>8.5</v>
      </c>
      <c r="J10" t="s">
        <v>18</v>
      </c>
      <c r="K10" t="s">
        <v>19</v>
      </c>
      <c r="L10">
        <v>4</v>
      </c>
      <c r="M10" s="6">
        <v>45789</v>
      </c>
      <c r="N10" s="6">
        <v>45845</v>
      </c>
      <c r="O10">
        <v>3</v>
      </c>
      <c r="P10">
        <v>329.35</v>
      </c>
    </row>
    <row r="11" spans="1:16">
      <c r="A11" t="s">
        <v>64</v>
      </c>
      <c r="B11" s="6">
        <v>45869</v>
      </c>
      <c r="C11">
        <v>217</v>
      </c>
      <c r="D11" t="s">
        <v>15</v>
      </c>
      <c r="E11" t="s">
        <v>24</v>
      </c>
      <c r="F11" t="s">
        <v>21</v>
      </c>
      <c r="G11">
        <v>1</v>
      </c>
      <c r="H11">
        <v>107.58</v>
      </c>
      <c r="I11">
        <v>8.5</v>
      </c>
      <c r="J11" t="s">
        <v>18</v>
      </c>
      <c r="K11" t="s">
        <v>19</v>
      </c>
      <c r="L11">
        <v>4</v>
      </c>
      <c r="M11" s="6">
        <v>45753</v>
      </c>
      <c r="N11" s="6">
        <v>45870</v>
      </c>
      <c r="O11">
        <v>1</v>
      </c>
      <c r="P11">
        <v>116.08</v>
      </c>
    </row>
    <row r="12" spans="1:16">
      <c r="A12" t="s">
        <v>37</v>
      </c>
      <c r="B12" s="6">
        <v>45824</v>
      </c>
      <c r="C12">
        <v>212</v>
      </c>
      <c r="D12" t="s">
        <v>38</v>
      </c>
      <c r="E12" t="s">
        <v>39</v>
      </c>
      <c r="F12" t="s">
        <v>17</v>
      </c>
      <c r="G12">
        <v>2</v>
      </c>
      <c r="H12">
        <v>89.19</v>
      </c>
      <c r="I12">
        <v>8.5</v>
      </c>
      <c r="J12" t="s">
        <v>18</v>
      </c>
      <c r="K12" t="s">
        <v>19</v>
      </c>
      <c r="L12">
        <v>5</v>
      </c>
      <c r="M12" s="6">
        <v>45782</v>
      </c>
      <c r="N12" s="6">
        <v>45826</v>
      </c>
      <c r="O12">
        <v>2</v>
      </c>
      <c r="P12">
        <v>186.88</v>
      </c>
    </row>
    <row r="13" spans="1:16">
      <c r="A13" t="s">
        <v>139</v>
      </c>
      <c r="B13" s="6">
        <v>45810</v>
      </c>
      <c r="C13">
        <v>105</v>
      </c>
      <c r="D13" t="s">
        <v>38</v>
      </c>
      <c r="E13" t="s">
        <v>27</v>
      </c>
      <c r="F13" t="s">
        <v>21</v>
      </c>
      <c r="G13">
        <v>2</v>
      </c>
      <c r="H13">
        <v>104.17</v>
      </c>
      <c r="I13">
        <v>8.5</v>
      </c>
      <c r="J13" t="s">
        <v>18</v>
      </c>
      <c r="K13" t="s">
        <v>19</v>
      </c>
      <c r="L13">
        <v>4</v>
      </c>
      <c r="M13" s="6">
        <v>45799</v>
      </c>
      <c r="N13" s="6">
        <v>45815</v>
      </c>
      <c r="O13">
        <v>5</v>
      </c>
      <c r="P13">
        <v>529.35</v>
      </c>
    </row>
    <row r="14" spans="1:16">
      <c r="A14" t="s">
        <v>128</v>
      </c>
      <c r="B14" s="6">
        <v>45812</v>
      </c>
      <c r="C14">
        <v>118</v>
      </c>
      <c r="D14" t="s">
        <v>38</v>
      </c>
      <c r="E14" t="s">
        <v>39</v>
      </c>
      <c r="F14" t="s">
        <v>33</v>
      </c>
      <c r="G14">
        <v>2</v>
      </c>
      <c r="H14">
        <v>98.7</v>
      </c>
      <c r="I14">
        <v>8.5</v>
      </c>
      <c r="J14" t="s">
        <v>18</v>
      </c>
      <c r="K14" t="s">
        <v>19</v>
      </c>
      <c r="L14">
        <v>5</v>
      </c>
      <c r="M14" s="6">
        <v>45766</v>
      </c>
      <c r="N14" s="6">
        <v>45817</v>
      </c>
      <c r="O14">
        <v>5</v>
      </c>
      <c r="P14">
        <v>502</v>
      </c>
    </row>
    <row r="15" spans="1:16">
      <c r="A15" t="s">
        <v>115</v>
      </c>
      <c r="B15" s="6">
        <v>45889</v>
      </c>
      <c r="C15">
        <v>218</v>
      </c>
      <c r="D15" t="s">
        <v>38</v>
      </c>
      <c r="E15" t="s">
        <v>27</v>
      </c>
      <c r="F15" t="s">
        <v>21</v>
      </c>
      <c r="G15">
        <v>3</v>
      </c>
      <c r="H15">
        <v>86.81</v>
      </c>
      <c r="I15">
        <v>8.5</v>
      </c>
      <c r="J15" t="s">
        <v>51</v>
      </c>
      <c r="K15" t="s">
        <v>44</v>
      </c>
      <c r="M15" s="6">
        <v>45833</v>
      </c>
      <c r="N15" s="6">
        <v>45892</v>
      </c>
      <c r="O15">
        <v>3</v>
      </c>
      <c r="P15">
        <v>0</v>
      </c>
    </row>
    <row r="16" spans="1:16">
      <c r="A16" t="s">
        <v>97</v>
      </c>
      <c r="B16" s="6">
        <v>45899</v>
      </c>
      <c r="C16">
        <v>117</v>
      </c>
      <c r="D16" t="s">
        <v>38</v>
      </c>
      <c r="E16" t="s">
        <v>27</v>
      </c>
      <c r="F16" t="s">
        <v>17</v>
      </c>
      <c r="G16">
        <v>2</v>
      </c>
      <c r="H16">
        <v>94.81</v>
      </c>
      <c r="I16">
        <v>8.5</v>
      </c>
      <c r="J16" t="s">
        <v>18</v>
      </c>
      <c r="K16" t="s">
        <v>19</v>
      </c>
      <c r="L16">
        <v>4</v>
      </c>
      <c r="M16" s="6">
        <v>45895</v>
      </c>
      <c r="N16" s="6">
        <v>45901</v>
      </c>
      <c r="O16">
        <v>2</v>
      </c>
      <c r="P16">
        <v>198.12</v>
      </c>
    </row>
    <row r="17" spans="1:16">
      <c r="A17" t="s">
        <v>91</v>
      </c>
      <c r="B17" s="6">
        <v>45891</v>
      </c>
      <c r="C17">
        <v>211</v>
      </c>
      <c r="D17" t="s">
        <v>38</v>
      </c>
      <c r="E17" t="s">
        <v>27</v>
      </c>
      <c r="F17" t="s">
        <v>25</v>
      </c>
      <c r="G17">
        <v>2</v>
      </c>
      <c r="H17">
        <v>110.2</v>
      </c>
      <c r="I17">
        <v>8.5</v>
      </c>
      <c r="J17" t="s">
        <v>18</v>
      </c>
      <c r="K17" t="s">
        <v>19</v>
      </c>
      <c r="L17">
        <v>4</v>
      </c>
      <c r="M17" s="6">
        <v>45843</v>
      </c>
      <c r="N17" s="6">
        <v>45893</v>
      </c>
      <c r="O17">
        <v>2</v>
      </c>
      <c r="P17">
        <v>228.9</v>
      </c>
    </row>
    <row r="18" spans="1:16">
      <c r="A18" t="s">
        <v>74</v>
      </c>
      <c r="B18" s="6">
        <v>45852</v>
      </c>
      <c r="C18">
        <v>110</v>
      </c>
      <c r="D18" t="s">
        <v>38</v>
      </c>
      <c r="E18" t="s">
        <v>16</v>
      </c>
      <c r="F18" t="s">
        <v>46</v>
      </c>
      <c r="G18">
        <v>2</v>
      </c>
      <c r="H18">
        <v>95.94</v>
      </c>
      <c r="I18">
        <v>8.5</v>
      </c>
      <c r="J18" t="s">
        <v>34</v>
      </c>
      <c r="K18" t="s">
        <v>35</v>
      </c>
      <c r="M18" s="6">
        <v>45816</v>
      </c>
      <c r="N18" s="6">
        <v>45857</v>
      </c>
      <c r="O18">
        <v>5</v>
      </c>
      <c r="P18">
        <v>0</v>
      </c>
    </row>
    <row r="19" spans="1:16">
      <c r="A19" t="s">
        <v>162</v>
      </c>
      <c r="B19" s="6">
        <v>45842</v>
      </c>
      <c r="C19">
        <v>108</v>
      </c>
      <c r="D19" t="s">
        <v>23</v>
      </c>
      <c r="E19" t="s">
        <v>16</v>
      </c>
      <c r="F19" t="s">
        <v>25</v>
      </c>
      <c r="G19">
        <v>2</v>
      </c>
      <c r="H19">
        <v>139.58000000000001</v>
      </c>
      <c r="I19">
        <v>8.5</v>
      </c>
      <c r="J19" t="s">
        <v>51</v>
      </c>
      <c r="K19" t="s">
        <v>44</v>
      </c>
      <c r="M19" s="6">
        <v>45818</v>
      </c>
      <c r="N19" s="6">
        <v>45847</v>
      </c>
      <c r="O19">
        <v>5</v>
      </c>
      <c r="P19">
        <v>0</v>
      </c>
    </row>
    <row r="20" spans="1:16">
      <c r="A20" t="s">
        <v>22</v>
      </c>
      <c r="B20" s="6">
        <v>45877</v>
      </c>
      <c r="C20">
        <v>218</v>
      </c>
      <c r="D20" t="s">
        <v>23</v>
      </c>
      <c r="E20" t="s">
        <v>24</v>
      </c>
      <c r="F20" t="s">
        <v>25</v>
      </c>
      <c r="G20">
        <v>2</v>
      </c>
      <c r="H20">
        <v>134.43</v>
      </c>
      <c r="I20">
        <v>8.5</v>
      </c>
      <c r="J20" t="s">
        <v>18</v>
      </c>
      <c r="K20" t="s">
        <v>19</v>
      </c>
      <c r="L20">
        <v>4</v>
      </c>
      <c r="M20" s="6">
        <v>45848</v>
      </c>
      <c r="N20" s="6">
        <v>45879</v>
      </c>
      <c r="O20">
        <v>2</v>
      </c>
      <c r="P20">
        <v>277.36</v>
      </c>
    </row>
    <row r="21" spans="1:16">
      <c r="A21" t="s">
        <v>161</v>
      </c>
      <c r="B21" s="6">
        <v>45879</v>
      </c>
      <c r="C21">
        <v>219</v>
      </c>
      <c r="D21" t="s">
        <v>23</v>
      </c>
      <c r="E21" t="s">
        <v>27</v>
      </c>
      <c r="F21" t="s">
        <v>46</v>
      </c>
      <c r="G21">
        <v>3</v>
      </c>
      <c r="H21">
        <v>127.76</v>
      </c>
      <c r="I21">
        <v>8.5</v>
      </c>
      <c r="J21" t="s">
        <v>18</v>
      </c>
      <c r="K21" t="s">
        <v>19</v>
      </c>
      <c r="L21">
        <v>3</v>
      </c>
      <c r="M21" s="6">
        <v>45860</v>
      </c>
      <c r="N21" s="6">
        <v>45880</v>
      </c>
      <c r="O21">
        <v>1</v>
      </c>
      <c r="P21">
        <v>136.26</v>
      </c>
    </row>
    <row r="22" spans="1:16">
      <c r="A22" t="s">
        <v>159</v>
      </c>
      <c r="B22" s="6">
        <v>45823</v>
      </c>
      <c r="C22">
        <v>117</v>
      </c>
      <c r="D22" t="s">
        <v>23</v>
      </c>
      <c r="E22" t="s">
        <v>16</v>
      </c>
      <c r="F22" t="s">
        <v>29</v>
      </c>
      <c r="G22">
        <v>2</v>
      </c>
      <c r="H22">
        <v>112.35</v>
      </c>
      <c r="I22">
        <v>8.5</v>
      </c>
      <c r="J22" t="s">
        <v>34</v>
      </c>
      <c r="K22" t="s">
        <v>35</v>
      </c>
      <c r="M22" s="6">
        <v>45802</v>
      </c>
      <c r="N22" s="6">
        <v>45827</v>
      </c>
      <c r="O22">
        <v>4</v>
      </c>
      <c r="P22">
        <v>0</v>
      </c>
    </row>
    <row r="23" spans="1:16">
      <c r="A23" t="s">
        <v>105</v>
      </c>
      <c r="B23" s="6">
        <v>45900</v>
      </c>
      <c r="C23">
        <v>205</v>
      </c>
      <c r="D23" t="s">
        <v>23</v>
      </c>
      <c r="E23" t="s">
        <v>24</v>
      </c>
      <c r="F23" t="s">
        <v>33</v>
      </c>
      <c r="G23">
        <v>2</v>
      </c>
      <c r="H23">
        <v>116.36</v>
      </c>
      <c r="I23">
        <v>8.5</v>
      </c>
      <c r="J23" t="s">
        <v>18</v>
      </c>
      <c r="K23" t="s">
        <v>44</v>
      </c>
      <c r="L23">
        <v>4</v>
      </c>
      <c r="M23" s="6">
        <v>45860</v>
      </c>
      <c r="N23" s="6">
        <v>45905</v>
      </c>
      <c r="O23">
        <v>5</v>
      </c>
      <c r="P23">
        <v>590.29999999999995</v>
      </c>
    </row>
    <row r="24" spans="1:16">
      <c r="A24" t="s">
        <v>83</v>
      </c>
      <c r="B24" s="6">
        <v>45857</v>
      </c>
      <c r="C24">
        <v>217</v>
      </c>
      <c r="D24" t="s">
        <v>23</v>
      </c>
      <c r="E24" t="s">
        <v>39</v>
      </c>
      <c r="F24" t="s">
        <v>21</v>
      </c>
      <c r="G24">
        <v>1</v>
      </c>
      <c r="H24">
        <v>120.64</v>
      </c>
      <c r="I24">
        <v>8.5</v>
      </c>
      <c r="J24" t="s">
        <v>18</v>
      </c>
      <c r="K24" t="s">
        <v>19</v>
      </c>
      <c r="L24">
        <v>5</v>
      </c>
      <c r="M24" s="6">
        <v>45817</v>
      </c>
      <c r="N24" s="6">
        <v>45859</v>
      </c>
      <c r="O24">
        <v>2</v>
      </c>
      <c r="P24">
        <v>249.78</v>
      </c>
    </row>
    <row r="25" spans="1:16">
      <c r="A25" t="s">
        <v>79</v>
      </c>
      <c r="B25" s="6">
        <v>45842</v>
      </c>
      <c r="C25">
        <v>215</v>
      </c>
      <c r="D25" t="s">
        <v>23</v>
      </c>
      <c r="E25" t="s">
        <v>24</v>
      </c>
      <c r="F25" t="s">
        <v>46</v>
      </c>
      <c r="G25">
        <v>2</v>
      </c>
      <c r="H25">
        <v>116.25</v>
      </c>
      <c r="I25">
        <v>8.5</v>
      </c>
      <c r="J25" t="s">
        <v>51</v>
      </c>
      <c r="K25" t="s">
        <v>19</v>
      </c>
      <c r="M25" s="6">
        <v>45816</v>
      </c>
      <c r="N25" s="6">
        <v>45847</v>
      </c>
      <c r="O25">
        <v>5</v>
      </c>
      <c r="P25">
        <v>0</v>
      </c>
    </row>
    <row r="26" spans="1:16">
      <c r="A26" t="s">
        <v>151</v>
      </c>
      <c r="B26" s="6">
        <v>45895</v>
      </c>
      <c r="C26">
        <v>114</v>
      </c>
      <c r="D26" t="s">
        <v>43</v>
      </c>
      <c r="E26" t="s">
        <v>24</v>
      </c>
      <c r="F26" t="s">
        <v>25</v>
      </c>
      <c r="G26">
        <v>2</v>
      </c>
      <c r="H26">
        <v>76.09</v>
      </c>
      <c r="I26">
        <v>8.5</v>
      </c>
      <c r="J26" t="s">
        <v>18</v>
      </c>
      <c r="K26" t="s">
        <v>19</v>
      </c>
      <c r="L26">
        <v>3</v>
      </c>
      <c r="M26" s="6">
        <v>45895</v>
      </c>
      <c r="N26" s="6">
        <v>45896</v>
      </c>
      <c r="O26">
        <v>1</v>
      </c>
      <c r="P26">
        <v>84.59</v>
      </c>
    </row>
    <row r="27" spans="1:16">
      <c r="A27" t="s">
        <v>150</v>
      </c>
      <c r="B27" s="6">
        <v>45890</v>
      </c>
      <c r="C27">
        <v>204</v>
      </c>
      <c r="D27" t="s">
        <v>43</v>
      </c>
      <c r="E27" t="s">
        <v>27</v>
      </c>
      <c r="F27" t="s">
        <v>21</v>
      </c>
      <c r="G27">
        <v>4</v>
      </c>
      <c r="H27">
        <v>78.97</v>
      </c>
      <c r="I27">
        <v>8.5</v>
      </c>
      <c r="J27" t="s">
        <v>18</v>
      </c>
      <c r="K27" t="s">
        <v>19</v>
      </c>
      <c r="L27">
        <v>3</v>
      </c>
      <c r="M27" s="6">
        <v>45874</v>
      </c>
      <c r="N27" s="6">
        <v>45894</v>
      </c>
      <c r="O27">
        <v>4</v>
      </c>
      <c r="P27">
        <v>324.38</v>
      </c>
    </row>
    <row r="28" spans="1:16">
      <c r="A28" t="s">
        <v>124</v>
      </c>
      <c r="B28" s="6">
        <v>45873</v>
      </c>
      <c r="C28">
        <v>206</v>
      </c>
      <c r="D28" t="s">
        <v>43</v>
      </c>
      <c r="E28" t="s">
        <v>39</v>
      </c>
      <c r="F28" t="s">
        <v>46</v>
      </c>
      <c r="G28">
        <v>2</v>
      </c>
      <c r="H28">
        <v>76.31</v>
      </c>
      <c r="I28">
        <v>8.5</v>
      </c>
      <c r="J28" t="s">
        <v>18</v>
      </c>
      <c r="K28" t="s">
        <v>19</v>
      </c>
      <c r="L28">
        <v>5</v>
      </c>
      <c r="M28" s="6">
        <v>45854</v>
      </c>
      <c r="N28" s="6">
        <v>45877</v>
      </c>
      <c r="O28">
        <v>4</v>
      </c>
      <c r="P28">
        <v>313.74</v>
      </c>
    </row>
    <row r="29" spans="1:16">
      <c r="A29" t="s">
        <v>57</v>
      </c>
      <c r="B29" s="6">
        <v>45844</v>
      </c>
      <c r="C29">
        <v>210</v>
      </c>
      <c r="D29" t="s">
        <v>43</v>
      </c>
      <c r="E29" t="s">
        <v>24</v>
      </c>
      <c r="F29" t="s">
        <v>46</v>
      </c>
      <c r="G29">
        <v>2</v>
      </c>
      <c r="H29">
        <v>88.21</v>
      </c>
      <c r="I29">
        <v>8.5</v>
      </c>
      <c r="J29" t="s">
        <v>34</v>
      </c>
      <c r="K29" t="s">
        <v>35</v>
      </c>
      <c r="M29" s="6">
        <v>45817</v>
      </c>
      <c r="N29" s="6">
        <v>45848</v>
      </c>
      <c r="O29">
        <v>4</v>
      </c>
      <c r="P29">
        <v>0</v>
      </c>
    </row>
    <row r="30" spans="1:16">
      <c r="A30" t="s">
        <v>94</v>
      </c>
      <c r="B30" s="6">
        <v>45878</v>
      </c>
      <c r="C30">
        <v>218</v>
      </c>
      <c r="D30" t="s">
        <v>43</v>
      </c>
      <c r="E30" t="s">
        <v>39</v>
      </c>
      <c r="F30" t="s">
        <v>33</v>
      </c>
      <c r="G30">
        <v>1</v>
      </c>
      <c r="H30">
        <v>93.57</v>
      </c>
      <c r="I30">
        <v>8.5</v>
      </c>
      <c r="J30" t="s">
        <v>18</v>
      </c>
      <c r="K30" t="s">
        <v>19</v>
      </c>
      <c r="L30">
        <v>4</v>
      </c>
      <c r="M30" s="6">
        <v>45820</v>
      </c>
      <c r="N30" s="6">
        <v>45882</v>
      </c>
      <c r="O30">
        <v>4</v>
      </c>
      <c r="P30">
        <v>382.78</v>
      </c>
    </row>
    <row r="31" spans="1:16">
      <c r="A31" t="s">
        <v>75</v>
      </c>
      <c r="B31" s="6">
        <v>45846</v>
      </c>
      <c r="C31">
        <v>116</v>
      </c>
      <c r="D31" t="s">
        <v>43</v>
      </c>
      <c r="E31" t="s">
        <v>27</v>
      </c>
      <c r="F31" t="s">
        <v>25</v>
      </c>
      <c r="G31">
        <v>3</v>
      </c>
      <c r="H31">
        <v>92.1</v>
      </c>
      <c r="I31">
        <v>8.5</v>
      </c>
      <c r="J31" t="s">
        <v>18</v>
      </c>
      <c r="K31" t="s">
        <v>19</v>
      </c>
      <c r="L31">
        <v>4</v>
      </c>
      <c r="M31" s="6">
        <v>45802</v>
      </c>
      <c r="N31" s="6">
        <v>45848</v>
      </c>
      <c r="O31">
        <v>2</v>
      </c>
      <c r="P31">
        <v>192.7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D576-0259-B241-A9CB-5C2667FDB10E}">
  <dimension ref="A1"/>
  <sheetViews>
    <sheetView topLeftCell="A2" zoomScale="75" workbookViewId="0">
      <selection activeCell="Y43" sqref="Y43"/>
    </sheetView>
  </sheetViews>
  <sheetFormatPr baseColWidth="10" defaultRowHeight="1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EF1296-B9A9-2446-9567-F70849FB49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Data_Dictionary</vt:lpstr>
      <vt:lpstr>Raw_Motel_Data</vt:lpstr>
      <vt:lpstr>Cleaned_Motel_Booking_Data</vt:lpstr>
      <vt:lpstr>Excel_Analysis</vt:lpstr>
      <vt:lpstr>Excel_Dashboard</vt:lpstr>
      <vt:lpstr>Business_Insights</vt:lpstr>
      <vt:lpstr>Excel_Formula_Practice</vt:lpstr>
      <vt:lpstr>Pivot_KPI</vt:lpstr>
      <vt:lpstr>Pivot_Room_Type</vt:lpstr>
      <vt:lpstr>Pivot_Booking_Source</vt:lpstr>
      <vt:lpstr>Pivot_Booking_Status</vt:lpstr>
      <vt:lpstr>Pivot_Monthly_Revenue</vt:lpstr>
      <vt:lpstr>Pivot_Room_Rating</vt:lpstr>
      <vt:lpstr>Detail1</vt:lpstr>
      <vt:lpstr>Excel_Charts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BindhuSaahithi NaralashettyYogendranath</cp:lastModifiedBy>
  <dcterms:created xsi:type="dcterms:W3CDTF">2026-07-29T01:53:28Z</dcterms:created>
  <dcterms:modified xsi:type="dcterms:W3CDTF">2026-08-15T01:13:55Z</dcterms:modified>
</cp:coreProperties>
</file>